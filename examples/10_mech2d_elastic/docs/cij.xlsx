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ps\projects\md_lammps_workshop\examples\10_mech2d_elastic\docs\"/>
    </mc:Choice>
  </mc:AlternateContent>
  <xr:revisionPtr revIDLastSave="0" documentId="13_ncr:1_{C5A9BA88-FBA1-4D6E-AC81-018A8B02CF44}" xr6:coauthVersionLast="47" xr6:coauthVersionMax="47" xr10:uidLastSave="{00000000-0000-0000-0000-000000000000}"/>
  <bookViews>
    <workbookView xWindow="-108" yWindow="-108" windowWidth="23256" windowHeight="12456" xr2:uid="{8CCD3CBB-2219-4CFA-AEF4-3BCD7E8F6540}"/>
  </bookViews>
  <sheets>
    <sheet name="x_const_y" sheetId="2" r:id="rId1"/>
    <sheet name="xy_she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09" i="3" l="1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O4" i="3"/>
  <c r="N4" i="3"/>
  <c r="B2" i="3"/>
  <c r="B3" i="3" s="1"/>
  <c r="O4" i="2"/>
  <c r="N4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B2" i="2"/>
  <c r="B3" i="2" s="1"/>
  <c r="R9" i="3" l="1"/>
  <c r="T9" i="3"/>
  <c r="T10" i="3"/>
  <c r="S11" i="3"/>
  <c r="S12" i="3"/>
  <c r="R13" i="3"/>
  <c r="S16" i="3"/>
  <c r="R17" i="3"/>
  <c r="T17" i="3"/>
  <c r="R18" i="3"/>
  <c r="T18" i="3"/>
  <c r="S19" i="3"/>
  <c r="R20" i="3"/>
  <c r="T21" i="3"/>
  <c r="R22" i="3"/>
  <c r="T22" i="3"/>
  <c r="S23" i="3"/>
  <c r="S24" i="3"/>
  <c r="S25" i="3"/>
  <c r="S26" i="3"/>
  <c r="S27" i="3"/>
  <c r="S28" i="3"/>
  <c r="R29" i="3"/>
  <c r="T30" i="3"/>
  <c r="R31" i="3"/>
  <c r="T31" i="3"/>
  <c r="S34" i="3"/>
  <c r="R35" i="3"/>
  <c r="T35" i="3"/>
  <c r="R36" i="3"/>
  <c r="T36" i="3"/>
  <c r="R37" i="3"/>
  <c r="S38" i="3"/>
  <c r="S39" i="3"/>
  <c r="S40" i="3"/>
  <c r="T40" i="3"/>
  <c r="R41" i="3"/>
  <c r="T41" i="3"/>
  <c r="R42" i="3"/>
  <c r="T42" i="3"/>
  <c r="R43" i="3"/>
  <c r="T43" i="3"/>
  <c r="T45" i="3"/>
  <c r="S46" i="3"/>
  <c r="T53" i="3"/>
  <c r="S54" i="3"/>
  <c r="T54" i="3"/>
  <c r="S55" i="3"/>
  <c r="R56" i="3"/>
  <c r="S57" i="3"/>
  <c r="S58" i="3"/>
  <c r="R59" i="3"/>
  <c r="T59" i="3"/>
  <c r="S60" i="3"/>
  <c r="R61" i="3"/>
  <c r="T61" i="3"/>
  <c r="S62" i="3"/>
  <c r="R63" i="3"/>
  <c r="T63" i="3"/>
  <c r="S65" i="3"/>
  <c r="R66" i="3"/>
  <c r="T67" i="3"/>
  <c r="S68" i="3"/>
  <c r="S69" i="3"/>
  <c r="R70" i="3"/>
  <c r="T70" i="3"/>
  <c r="T73" i="3"/>
  <c r="S74" i="3"/>
  <c r="R75" i="3"/>
  <c r="S77" i="3"/>
  <c r="R78" i="3"/>
  <c r="T78" i="3"/>
  <c r="S80" i="3"/>
  <c r="R81" i="3"/>
  <c r="S82" i="3"/>
  <c r="R83" i="3"/>
  <c r="T83" i="3"/>
  <c r="S84" i="3"/>
  <c r="T84" i="3"/>
  <c r="S86" i="3"/>
  <c r="R87" i="3"/>
  <c r="T87" i="3"/>
  <c r="S88" i="3"/>
  <c r="R89" i="3"/>
  <c r="T89" i="3"/>
  <c r="S90" i="3"/>
  <c r="R91" i="3"/>
  <c r="S92" i="3"/>
  <c r="R93" i="3"/>
  <c r="T95" i="3"/>
  <c r="S97" i="3"/>
  <c r="R98" i="3"/>
  <c r="S100" i="3"/>
  <c r="R101" i="3"/>
  <c r="T101" i="3"/>
  <c r="S102" i="3"/>
  <c r="T103" i="3"/>
  <c r="S104" i="3"/>
  <c r="R105" i="3"/>
  <c r="T105" i="3"/>
  <c r="T106" i="3"/>
  <c r="S107" i="3"/>
  <c r="S108" i="3"/>
  <c r="T108" i="3"/>
  <c r="R109" i="3"/>
  <c r="S110" i="3"/>
  <c r="R111" i="3"/>
  <c r="T111" i="3"/>
  <c r="T113" i="3"/>
  <c r="S114" i="3"/>
  <c r="R115" i="3"/>
  <c r="S116" i="3"/>
  <c r="R117" i="3"/>
  <c r="S117" i="3"/>
  <c r="R118" i="3"/>
  <c r="T119" i="3"/>
  <c r="R120" i="3"/>
  <c r="S120" i="3"/>
  <c r="T120" i="3"/>
  <c r="R121" i="3"/>
  <c r="S121" i="3"/>
  <c r="T121" i="3"/>
  <c r="R122" i="3"/>
  <c r="S122" i="3"/>
  <c r="T122" i="3"/>
  <c r="R123" i="3"/>
  <c r="S123" i="3"/>
  <c r="T123" i="3"/>
  <c r="R124" i="3"/>
  <c r="S132" i="3"/>
  <c r="R133" i="3"/>
  <c r="T135" i="3"/>
  <c r="S136" i="3"/>
  <c r="R137" i="3"/>
  <c r="T138" i="3"/>
  <c r="S139" i="3"/>
  <c r="R140" i="3"/>
  <c r="T141" i="3"/>
  <c r="R142" i="3"/>
  <c r="T142" i="3"/>
  <c r="S143" i="3"/>
  <c r="R144" i="3"/>
  <c r="T144" i="3"/>
  <c r="S145" i="3"/>
  <c r="T145" i="3"/>
  <c r="S146" i="3"/>
  <c r="S147" i="3"/>
  <c r="T147" i="3"/>
  <c r="R148" i="3"/>
  <c r="T148" i="3"/>
  <c r="R149" i="3"/>
  <c r="T149" i="3"/>
  <c r="R168" i="3"/>
  <c r="S168" i="3"/>
  <c r="T168" i="3"/>
  <c r="R169" i="3"/>
  <c r="S169" i="3"/>
  <c r="T169" i="3"/>
  <c r="R170" i="3"/>
  <c r="S170" i="3"/>
  <c r="T170" i="3"/>
  <c r="R171" i="3"/>
  <c r="S171" i="3"/>
  <c r="T171" i="3"/>
  <c r="R172" i="3"/>
  <c r="S172" i="3"/>
  <c r="T172" i="3"/>
  <c r="R173" i="3"/>
  <c r="S173" i="3"/>
  <c r="T173" i="3"/>
  <c r="R174" i="3"/>
  <c r="S174" i="3"/>
  <c r="T174" i="3"/>
  <c r="R175" i="3"/>
  <c r="S175" i="3"/>
  <c r="T175" i="3"/>
  <c r="R176" i="3"/>
  <c r="S176" i="3"/>
  <c r="T176" i="3"/>
  <c r="R177" i="3"/>
  <c r="S177" i="3"/>
  <c r="T177" i="3"/>
  <c r="R178" i="3"/>
  <c r="S178" i="3"/>
  <c r="T178" i="3"/>
  <c r="R179" i="3"/>
  <c r="S179" i="3"/>
  <c r="T179" i="3"/>
  <c r="R180" i="3"/>
  <c r="S180" i="3"/>
  <c r="T180" i="3"/>
  <c r="R181" i="3"/>
  <c r="S181" i="3"/>
  <c r="T181" i="3"/>
  <c r="R182" i="3"/>
  <c r="S182" i="3"/>
  <c r="T182" i="3"/>
  <c r="R183" i="3"/>
  <c r="S183" i="3"/>
  <c r="T183" i="3"/>
  <c r="R184" i="3"/>
  <c r="S184" i="3"/>
  <c r="T184" i="3"/>
  <c r="R185" i="3"/>
  <c r="S185" i="3"/>
  <c r="T185" i="3"/>
  <c r="R186" i="3"/>
  <c r="S186" i="3"/>
  <c r="T186" i="3"/>
  <c r="R187" i="3"/>
  <c r="S187" i="3"/>
  <c r="T187" i="3"/>
  <c r="R188" i="3"/>
  <c r="S188" i="3"/>
  <c r="T188" i="3"/>
  <c r="R10" i="3"/>
  <c r="S13" i="3"/>
  <c r="R14" i="3"/>
  <c r="T14" i="3"/>
  <c r="S15" i="3"/>
  <c r="R16" i="3"/>
  <c r="T16" i="3"/>
  <c r="T19" i="3"/>
  <c r="T20" i="3"/>
  <c r="R21" i="3"/>
  <c r="T23" i="3"/>
  <c r="R24" i="3"/>
  <c r="T24" i="3"/>
  <c r="R25" i="3"/>
  <c r="T25" i="3"/>
  <c r="R26" i="3"/>
  <c r="T26" i="3"/>
  <c r="R27" i="3"/>
  <c r="T27" i="3"/>
  <c r="R28" i="3"/>
  <c r="S29" i="3"/>
  <c r="R30" i="3"/>
  <c r="S32" i="3"/>
  <c r="R33" i="3"/>
  <c r="T33" i="3"/>
  <c r="R34" i="3"/>
  <c r="T34" i="3"/>
  <c r="S35" i="3"/>
  <c r="S36" i="3"/>
  <c r="S43" i="3"/>
  <c r="R44" i="3"/>
  <c r="T44" i="3"/>
  <c r="S45" i="3"/>
  <c r="R46" i="3"/>
  <c r="T46" i="3"/>
  <c r="R47" i="3"/>
  <c r="T47" i="3"/>
  <c r="R48" i="3"/>
  <c r="S49" i="3"/>
  <c r="S50" i="3"/>
  <c r="S51" i="3"/>
  <c r="T51" i="3"/>
  <c r="R52" i="3"/>
  <c r="S53" i="3"/>
  <c r="R54" i="3"/>
  <c r="S56" i="3"/>
  <c r="R57" i="3"/>
  <c r="S59" i="3"/>
  <c r="R60" i="3"/>
  <c r="T60" i="3"/>
  <c r="S61" i="3"/>
  <c r="R62" i="3"/>
  <c r="T62" i="3"/>
  <c r="S63" i="3"/>
  <c r="R64" i="3"/>
  <c r="T64" i="3"/>
  <c r="T66" i="3"/>
  <c r="R67" i="3"/>
  <c r="T68" i="3"/>
  <c r="R69" i="3"/>
  <c r="T69" i="3"/>
  <c r="S71" i="3"/>
  <c r="R72" i="3"/>
  <c r="T72" i="3"/>
  <c r="S73" i="3"/>
  <c r="R74" i="3"/>
  <c r="T74" i="3"/>
  <c r="T75" i="3"/>
  <c r="S76" i="3"/>
  <c r="R77" i="3"/>
  <c r="T77" i="3"/>
  <c r="S79" i="3"/>
  <c r="R80" i="3"/>
  <c r="T80" i="3"/>
  <c r="T81" i="3"/>
  <c r="T82" i="3"/>
  <c r="S83" i="3"/>
  <c r="R84" i="3"/>
  <c r="R85" i="3"/>
  <c r="T85" i="3"/>
  <c r="T86" i="3"/>
  <c r="S87" i="3"/>
  <c r="R88" i="3"/>
  <c r="T88" i="3"/>
  <c r="S89" i="3"/>
  <c r="R90" i="3"/>
  <c r="T90" i="3"/>
  <c r="T91" i="3"/>
  <c r="S93" i="3"/>
  <c r="R94" i="3"/>
  <c r="T94" i="3"/>
  <c r="S95" i="3"/>
  <c r="R96" i="3"/>
  <c r="T96" i="3"/>
  <c r="S98" i="3"/>
  <c r="R99" i="3"/>
  <c r="T99" i="3"/>
  <c r="S101" i="3"/>
  <c r="R102" i="3"/>
  <c r="T102" i="3"/>
  <c r="S103" i="3"/>
  <c r="R104" i="3"/>
  <c r="T104" i="3"/>
  <c r="S105" i="3"/>
  <c r="R106" i="3"/>
  <c r="S111" i="3"/>
  <c r="R112" i="3"/>
  <c r="T112" i="3"/>
  <c r="S113" i="3"/>
  <c r="R114" i="3"/>
  <c r="T114" i="3"/>
  <c r="T115" i="3"/>
  <c r="T117" i="3"/>
  <c r="S118" i="3"/>
  <c r="S119" i="3"/>
  <c r="S126" i="3"/>
  <c r="S127" i="3"/>
  <c r="S128" i="3"/>
  <c r="S129" i="3"/>
  <c r="S130" i="3"/>
  <c r="T130" i="3"/>
  <c r="R131" i="3"/>
  <c r="T131" i="3"/>
  <c r="R132" i="3"/>
  <c r="T132" i="3"/>
  <c r="S133" i="3"/>
  <c r="S134" i="3"/>
  <c r="T134" i="3"/>
  <c r="S135" i="3"/>
  <c r="R136" i="3"/>
  <c r="T136" i="3"/>
  <c r="S137" i="3"/>
  <c r="R138" i="3"/>
  <c r="T139" i="3"/>
  <c r="S140" i="3"/>
  <c r="R141" i="3"/>
  <c r="R146" i="3"/>
  <c r="R189" i="3"/>
  <c r="S189" i="3"/>
  <c r="T189" i="3"/>
  <c r="R190" i="3"/>
  <c r="S190" i="3"/>
  <c r="T190" i="3"/>
  <c r="R191" i="3"/>
  <c r="S191" i="3"/>
  <c r="T191" i="3"/>
  <c r="R192" i="3"/>
  <c r="S192" i="3"/>
  <c r="T192" i="3"/>
  <c r="R193" i="3"/>
  <c r="S193" i="3"/>
  <c r="T193" i="3"/>
  <c r="R194" i="3"/>
  <c r="S194" i="3"/>
  <c r="T194" i="3"/>
  <c r="R195" i="3"/>
  <c r="S195" i="3"/>
  <c r="T195" i="3"/>
  <c r="R196" i="3"/>
  <c r="S196" i="3"/>
  <c r="T196" i="3"/>
  <c r="R197" i="3"/>
  <c r="S197" i="3"/>
  <c r="T197" i="3"/>
  <c r="R198" i="3"/>
  <c r="S198" i="3"/>
  <c r="T198" i="3"/>
  <c r="R199" i="3"/>
  <c r="S199" i="3"/>
  <c r="T199" i="3"/>
  <c r="R200" i="3"/>
  <c r="S200" i="3"/>
  <c r="T200" i="3"/>
  <c r="R201" i="3"/>
  <c r="S201" i="3"/>
  <c r="T201" i="3"/>
  <c r="R202" i="3"/>
  <c r="S202" i="3"/>
  <c r="T202" i="3"/>
  <c r="R203" i="3"/>
  <c r="S203" i="3"/>
  <c r="T203" i="3"/>
  <c r="R204" i="3"/>
  <c r="S204" i="3"/>
  <c r="T204" i="3"/>
  <c r="R205" i="3"/>
  <c r="S205" i="3"/>
  <c r="T205" i="3"/>
  <c r="R206" i="3"/>
  <c r="S206" i="3"/>
  <c r="T206" i="3"/>
  <c r="R207" i="3"/>
  <c r="S207" i="3"/>
  <c r="T207" i="3"/>
  <c r="R208" i="3"/>
  <c r="S208" i="3"/>
  <c r="T208" i="3"/>
  <c r="R209" i="3"/>
  <c r="S209" i="3"/>
  <c r="T209" i="3"/>
  <c r="S9" i="3"/>
  <c r="S10" i="3"/>
  <c r="R11" i="3"/>
  <c r="T11" i="3"/>
  <c r="R12" i="3"/>
  <c r="T12" i="3"/>
  <c r="T13" i="3"/>
  <c r="S14" i="3"/>
  <c r="R15" i="3"/>
  <c r="T15" i="3"/>
  <c r="S17" i="3"/>
  <c r="S18" i="3"/>
  <c r="R19" i="3"/>
  <c r="S20" i="3"/>
  <c r="S21" i="3"/>
  <c r="S22" i="3"/>
  <c r="R23" i="3"/>
  <c r="T28" i="3"/>
  <c r="T29" i="3"/>
  <c r="S30" i="3"/>
  <c r="S31" i="3"/>
  <c r="R32" i="3"/>
  <c r="T32" i="3"/>
  <c r="S33" i="3"/>
  <c r="S37" i="3"/>
  <c r="T37" i="3"/>
  <c r="R38" i="3"/>
  <c r="T38" i="3"/>
  <c r="R39" i="3"/>
  <c r="T39" i="3"/>
  <c r="R40" i="3"/>
  <c r="S41" i="3"/>
  <c r="S42" i="3"/>
  <c r="S44" i="3"/>
  <c r="R45" i="3"/>
  <c r="S47" i="3"/>
  <c r="S48" i="3"/>
  <c r="T48" i="3"/>
  <c r="R49" i="3"/>
  <c r="T49" i="3"/>
  <c r="R50" i="3"/>
  <c r="T50" i="3"/>
  <c r="R51" i="3"/>
  <c r="S52" i="3"/>
  <c r="T52" i="3"/>
  <c r="R53" i="3"/>
  <c r="R55" i="3"/>
  <c r="T55" i="3"/>
  <c r="T56" i="3"/>
  <c r="T57" i="3"/>
  <c r="R58" i="3"/>
  <c r="T58" i="3"/>
  <c r="S64" i="3"/>
  <c r="R65" i="3"/>
  <c r="T65" i="3"/>
  <c r="S66" i="3"/>
  <c r="S67" i="3"/>
  <c r="R68" i="3"/>
  <c r="S70" i="3"/>
  <c r="R71" i="3"/>
  <c r="T71" i="3"/>
  <c r="S72" i="3"/>
  <c r="R73" i="3"/>
  <c r="S75" i="3"/>
  <c r="R76" i="3"/>
  <c r="T76" i="3"/>
  <c r="S78" i="3"/>
  <c r="R79" i="3"/>
  <c r="T79" i="3"/>
  <c r="S81" i="3"/>
  <c r="R82" i="3"/>
  <c r="S85" i="3"/>
  <c r="R86" i="3"/>
  <c r="S91" i="3"/>
  <c r="R92" i="3"/>
  <c r="T92" i="3"/>
  <c r="T93" i="3"/>
  <c r="S94" i="3"/>
  <c r="R95" i="3"/>
  <c r="S96" i="3"/>
  <c r="R97" i="3"/>
  <c r="T97" i="3"/>
  <c r="T98" i="3"/>
  <c r="S99" i="3"/>
  <c r="R100" i="3"/>
  <c r="T100" i="3"/>
  <c r="R103" i="3"/>
  <c r="S106" i="3"/>
  <c r="R107" i="3"/>
  <c r="T107" i="3"/>
  <c r="R108" i="3"/>
  <c r="S109" i="3"/>
  <c r="T109" i="3"/>
  <c r="R110" i="3"/>
  <c r="T110" i="3"/>
  <c r="S112" i="3"/>
  <c r="R113" i="3"/>
  <c r="S115" i="3"/>
  <c r="R116" i="3"/>
  <c r="T116" i="3"/>
  <c r="T118" i="3"/>
  <c r="R119" i="3"/>
  <c r="S124" i="3"/>
  <c r="T124" i="3"/>
  <c r="R125" i="3"/>
  <c r="S125" i="3"/>
  <c r="T125" i="3"/>
  <c r="R126" i="3"/>
  <c r="T126" i="3"/>
  <c r="R127" i="3"/>
  <c r="T127" i="3"/>
  <c r="R128" i="3"/>
  <c r="T128" i="3"/>
  <c r="R129" i="3"/>
  <c r="T129" i="3"/>
  <c r="R130" i="3"/>
  <c r="S131" i="3"/>
  <c r="T133" i="3"/>
  <c r="R134" i="3"/>
  <c r="R135" i="3"/>
  <c r="T137" i="3"/>
  <c r="S138" i="3"/>
  <c r="R139" i="3"/>
  <c r="T140" i="3"/>
  <c r="S141" i="3"/>
  <c r="S142" i="3"/>
  <c r="R143" i="3"/>
  <c r="T143" i="3"/>
  <c r="S144" i="3"/>
  <c r="R145" i="3"/>
  <c r="T146" i="3"/>
  <c r="R147" i="3"/>
  <c r="S148" i="3"/>
  <c r="S149" i="3"/>
  <c r="R150" i="3"/>
  <c r="S150" i="3"/>
  <c r="T150" i="3"/>
  <c r="R151" i="3"/>
  <c r="S151" i="3"/>
  <c r="T151" i="3"/>
  <c r="R152" i="3"/>
  <c r="S152" i="3"/>
  <c r="T152" i="3"/>
  <c r="R153" i="3"/>
  <c r="S153" i="3"/>
  <c r="T153" i="3"/>
  <c r="R154" i="3"/>
  <c r="S154" i="3"/>
  <c r="T154" i="3"/>
  <c r="R155" i="3"/>
  <c r="S155" i="3"/>
  <c r="T155" i="3"/>
  <c r="R156" i="3"/>
  <c r="S156" i="3"/>
  <c r="T156" i="3"/>
  <c r="R157" i="3"/>
  <c r="S157" i="3"/>
  <c r="T157" i="3"/>
  <c r="R158" i="3"/>
  <c r="S158" i="3"/>
  <c r="T158" i="3"/>
  <c r="R159" i="3"/>
  <c r="S159" i="3"/>
  <c r="T159" i="3"/>
  <c r="R160" i="3"/>
  <c r="S160" i="3"/>
  <c r="T160" i="3"/>
  <c r="R161" i="3"/>
  <c r="S161" i="3"/>
  <c r="T161" i="3"/>
  <c r="R162" i="3"/>
  <c r="S162" i="3"/>
  <c r="T162" i="3"/>
  <c r="R163" i="3"/>
  <c r="S163" i="3"/>
  <c r="T163" i="3"/>
  <c r="R164" i="3"/>
  <c r="S164" i="3"/>
  <c r="T164" i="3"/>
  <c r="R165" i="3"/>
  <c r="S165" i="3"/>
  <c r="T165" i="3"/>
  <c r="R166" i="3"/>
  <c r="S166" i="3"/>
  <c r="T166" i="3"/>
  <c r="R167" i="3"/>
  <c r="S167" i="3"/>
  <c r="T167" i="3"/>
  <c r="T209" i="2"/>
  <c r="S105" i="2"/>
  <c r="S104" i="2"/>
  <c r="S103" i="2"/>
  <c r="T102" i="2"/>
  <c r="S101" i="2"/>
  <c r="R100" i="2"/>
  <c r="R99" i="2"/>
  <c r="S209" i="2"/>
  <c r="R209" i="2"/>
  <c r="T208" i="2"/>
  <c r="S208" i="2"/>
  <c r="R208" i="2"/>
  <c r="T207" i="2"/>
  <c r="S207" i="2"/>
  <c r="R207" i="2"/>
  <c r="T206" i="2"/>
  <c r="S206" i="2"/>
  <c r="R206" i="2"/>
  <c r="T205" i="2"/>
  <c r="S205" i="2"/>
  <c r="R205" i="2"/>
  <c r="T204" i="2"/>
  <c r="S204" i="2"/>
  <c r="R204" i="2"/>
  <c r="T203" i="2"/>
  <c r="S203" i="2"/>
  <c r="R203" i="2"/>
  <c r="T202" i="2"/>
  <c r="S202" i="2"/>
  <c r="R202" i="2"/>
  <c r="T201" i="2"/>
  <c r="S201" i="2"/>
  <c r="R201" i="2"/>
  <c r="T200" i="2"/>
  <c r="S200" i="2"/>
  <c r="R200" i="2"/>
  <c r="T199" i="2"/>
  <c r="S199" i="2"/>
  <c r="R199" i="2"/>
  <c r="T198" i="2"/>
  <c r="S198" i="2"/>
  <c r="R198" i="2"/>
  <c r="T197" i="2"/>
  <c r="S197" i="2"/>
  <c r="R197" i="2"/>
  <c r="T196" i="2"/>
  <c r="S196" i="2"/>
  <c r="R196" i="2"/>
  <c r="T195" i="2"/>
  <c r="S195" i="2"/>
  <c r="R195" i="2"/>
  <c r="T194" i="2"/>
  <c r="S194" i="2"/>
  <c r="R194" i="2"/>
  <c r="T193" i="2"/>
  <c r="S193" i="2"/>
  <c r="R193" i="2"/>
  <c r="T192" i="2"/>
  <c r="S192" i="2"/>
  <c r="R192" i="2"/>
  <c r="T191" i="2"/>
  <c r="S191" i="2"/>
  <c r="R191" i="2"/>
  <c r="T190" i="2"/>
  <c r="S190" i="2"/>
  <c r="R190" i="2"/>
  <c r="T189" i="2"/>
  <c r="S189" i="2"/>
  <c r="R189" i="2"/>
  <c r="T188" i="2"/>
  <c r="S188" i="2"/>
  <c r="R188" i="2"/>
  <c r="T187" i="2"/>
  <c r="S187" i="2"/>
  <c r="T104" i="2"/>
  <c r="S102" i="2"/>
  <c r="R101" i="2"/>
  <c r="T98" i="2"/>
  <c r="R187" i="2"/>
  <c r="T186" i="2"/>
  <c r="S186" i="2"/>
  <c r="R186" i="2"/>
  <c r="T185" i="2"/>
  <c r="S185" i="2"/>
  <c r="R185" i="2"/>
  <c r="T184" i="2"/>
  <c r="S184" i="2"/>
  <c r="R184" i="2"/>
  <c r="T183" i="2"/>
  <c r="S183" i="2"/>
  <c r="R183" i="2"/>
  <c r="T182" i="2"/>
  <c r="S182" i="2"/>
  <c r="R182" i="2"/>
  <c r="T181" i="2"/>
  <c r="S181" i="2"/>
  <c r="R181" i="2"/>
  <c r="T180" i="2"/>
  <c r="S180" i="2"/>
  <c r="R180" i="2"/>
  <c r="T179" i="2"/>
  <c r="S179" i="2"/>
  <c r="R179" i="2"/>
  <c r="T178" i="2"/>
  <c r="S178" i="2"/>
  <c r="R178" i="2"/>
  <c r="T177" i="2"/>
  <c r="S177" i="2"/>
  <c r="R177" i="2"/>
  <c r="T176" i="2"/>
  <c r="S176" i="2"/>
  <c r="R176" i="2"/>
  <c r="T175" i="2"/>
  <c r="S175" i="2"/>
  <c r="R175" i="2"/>
  <c r="T174" i="2"/>
  <c r="S174" i="2"/>
  <c r="R174" i="2"/>
  <c r="T173" i="2"/>
  <c r="S173" i="2"/>
  <c r="R173" i="2"/>
  <c r="T172" i="2"/>
  <c r="S172" i="2"/>
  <c r="R172" i="2"/>
  <c r="T171" i="2"/>
  <c r="S171" i="2"/>
  <c r="R171" i="2"/>
  <c r="T170" i="2"/>
  <c r="S170" i="2"/>
  <c r="R170" i="2"/>
  <c r="T169" i="2"/>
  <c r="S169" i="2"/>
  <c r="R169" i="2"/>
  <c r="T168" i="2"/>
  <c r="S168" i="2"/>
  <c r="R168" i="2"/>
  <c r="T167" i="2"/>
  <c r="S167" i="2"/>
  <c r="R167" i="2"/>
  <c r="T166" i="2"/>
  <c r="S166" i="2"/>
  <c r="R166" i="2"/>
  <c r="T165" i="2"/>
  <c r="S165" i="2"/>
  <c r="R165" i="2"/>
  <c r="R118" i="2"/>
  <c r="S116" i="2"/>
  <c r="R115" i="2"/>
  <c r="S113" i="2"/>
  <c r="S112" i="2"/>
  <c r="S111" i="2"/>
  <c r="S110" i="2"/>
  <c r="S109" i="2"/>
  <c r="S108" i="2"/>
  <c r="S107" i="2"/>
  <c r="S106" i="2"/>
  <c r="T105" i="2"/>
  <c r="R104" i="2"/>
  <c r="R102" i="2"/>
  <c r="T100" i="2"/>
  <c r="T99" i="2"/>
  <c r="S98" i="2"/>
  <c r="T164" i="2"/>
  <c r="S164" i="2"/>
  <c r="R164" i="2"/>
  <c r="T163" i="2"/>
  <c r="S163" i="2"/>
  <c r="R163" i="2"/>
  <c r="T162" i="2"/>
  <c r="S162" i="2"/>
  <c r="R162" i="2"/>
  <c r="T161" i="2"/>
  <c r="S161" i="2"/>
  <c r="R161" i="2"/>
  <c r="T160" i="2"/>
  <c r="S160" i="2"/>
  <c r="R160" i="2"/>
  <c r="T159" i="2"/>
  <c r="S159" i="2"/>
  <c r="R159" i="2"/>
  <c r="T158" i="2"/>
  <c r="S158" i="2"/>
  <c r="R158" i="2"/>
  <c r="T157" i="2"/>
  <c r="S157" i="2"/>
  <c r="R157" i="2"/>
  <c r="T156" i="2"/>
  <c r="S156" i="2"/>
  <c r="R156" i="2"/>
  <c r="T155" i="2"/>
  <c r="S155" i="2"/>
  <c r="R155" i="2"/>
  <c r="T154" i="2"/>
  <c r="S154" i="2"/>
  <c r="R154" i="2"/>
  <c r="T153" i="2"/>
  <c r="S153" i="2"/>
  <c r="R153" i="2"/>
  <c r="T152" i="2"/>
  <c r="S152" i="2"/>
  <c r="R152" i="2"/>
  <c r="T151" i="2"/>
  <c r="S151" i="2"/>
  <c r="R151" i="2"/>
  <c r="T150" i="2"/>
  <c r="S150" i="2"/>
  <c r="R150" i="2"/>
  <c r="T149" i="2"/>
  <c r="S149" i="2"/>
  <c r="R149" i="2"/>
  <c r="T148" i="2"/>
  <c r="S148" i="2"/>
  <c r="R148" i="2"/>
  <c r="T147" i="2"/>
  <c r="S147" i="2"/>
  <c r="R147" i="2"/>
  <c r="T146" i="2"/>
  <c r="S146" i="2"/>
  <c r="R146" i="2"/>
  <c r="T145" i="2"/>
  <c r="S145" i="2"/>
  <c r="R145" i="2"/>
  <c r="T144" i="2"/>
  <c r="S144" i="2"/>
  <c r="R144" i="2"/>
  <c r="T143" i="2"/>
  <c r="S143" i="2"/>
  <c r="R143" i="2"/>
  <c r="T142" i="2"/>
  <c r="T121" i="2"/>
  <c r="R121" i="2"/>
  <c r="S120" i="2"/>
  <c r="T119" i="2"/>
  <c r="R119" i="2"/>
  <c r="S118" i="2"/>
  <c r="S117" i="2"/>
  <c r="T116" i="2"/>
  <c r="R116" i="2"/>
  <c r="S115" i="2"/>
  <c r="S114" i="2"/>
  <c r="T113" i="2"/>
  <c r="R113" i="2"/>
  <c r="R112" i="2"/>
  <c r="T110" i="2"/>
  <c r="R110" i="2"/>
  <c r="T108" i="2"/>
  <c r="R108" i="2"/>
  <c r="T106" i="2"/>
  <c r="R98" i="2"/>
  <c r="S142" i="2"/>
  <c r="R142" i="2"/>
  <c r="T141" i="2"/>
  <c r="S141" i="2"/>
  <c r="R141" i="2"/>
  <c r="T140" i="2"/>
  <c r="S140" i="2"/>
  <c r="R140" i="2"/>
  <c r="T139" i="2"/>
  <c r="S139" i="2"/>
  <c r="R139" i="2"/>
  <c r="T138" i="2"/>
  <c r="S138" i="2"/>
  <c r="R138" i="2"/>
  <c r="T137" i="2"/>
  <c r="S137" i="2"/>
  <c r="R137" i="2"/>
  <c r="T136" i="2"/>
  <c r="S136" i="2"/>
  <c r="R136" i="2"/>
  <c r="T135" i="2"/>
  <c r="S135" i="2"/>
  <c r="R135" i="2"/>
  <c r="T134" i="2"/>
  <c r="S134" i="2"/>
  <c r="R134" i="2"/>
  <c r="T133" i="2"/>
  <c r="S133" i="2"/>
  <c r="R133" i="2"/>
  <c r="T132" i="2"/>
  <c r="S132" i="2"/>
  <c r="R132" i="2"/>
  <c r="T131" i="2"/>
  <c r="S131" i="2"/>
  <c r="R131" i="2"/>
  <c r="T130" i="2"/>
  <c r="S130" i="2"/>
  <c r="R130" i="2"/>
  <c r="T129" i="2"/>
  <c r="S129" i="2"/>
  <c r="R129" i="2"/>
  <c r="T128" i="2"/>
  <c r="S128" i="2"/>
  <c r="R128" i="2"/>
  <c r="T127" i="2"/>
  <c r="S127" i="2"/>
  <c r="R127" i="2"/>
  <c r="T126" i="2"/>
  <c r="S126" i="2"/>
  <c r="R126" i="2"/>
  <c r="T125" i="2"/>
  <c r="S125" i="2"/>
  <c r="R125" i="2"/>
  <c r="T124" i="2"/>
  <c r="S124" i="2"/>
  <c r="R124" i="2"/>
  <c r="T123" i="2"/>
  <c r="S123" i="2"/>
  <c r="R123" i="2"/>
  <c r="T122" i="2"/>
  <c r="S122" i="2"/>
  <c r="R122" i="2"/>
  <c r="S121" i="2"/>
  <c r="T120" i="2"/>
  <c r="R120" i="2"/>
  <c r="S119" i="2"/>
  <c r="T118" i="2"/>
  <c r="T117" i="2"/>
  <c r="R117" i="2"/>
  <c r="T115" i="2"/>
  <c r="T114" i="2"/>
  <c r="R114" i="2"/>
  <c r="T112" i="2"/>
  <c r="T111" i="2"/>
  <c r="R111" i="2"/>
  <c r="T109" i="2"/>
  <c r="R109" i="2"/>
  <c r="T107" i="2"/>
  <c r="R107" i="2"/>
  <c r="R106" i="2"/>
  <c r="R105" i="2"/>
  <c r="T103" i="2"/>
  <c r="R103" i="2"/>
  <c r="T101" i="2"/>
  <c r="S100" i="2"/>
  <c r="S99" i="2"/>
  <c r="T97" i="2"/>
  <c r="S97" i="2"/>
  <c r="R97" i="2"/>
  <c r="T96" i="2"/>
  <c r="S96" i="2"/>
  <c r="R96" i="2"/>
  <c r="T95" i="2"/>
  <c r="S95" i="2"/>
  <c r="R95" i="2"/>
  <c r="T94" i="2"/>
  <c r="S94" i="2"/>
  <c r="R94" i="2"/>
  <c r="T93" i="2"/>
  <c r="S93" i="2"/>
  <c r="R93" i="2"/>
  <c r="T92" i="2"/>
  <c r="S92" i="2"/>
  <c r="R92" i="2"/>
  <c r="T91" i="2"/>
  <c r="S91" i="2"/>
  <c r="R91" i="2"/>
  <c r="T90" i="2"/>
  <c r="S90" i="2"/>
  <c r="R90" i="2"/>
  <c r="T89" i="2"/>
  <c r="S89" i="2"/>
  <c r="R89" i="2"/>
  <c r="T88" i="2"/>
  <c r="S88" i="2"/>
  <c r="R88" i="2"/>
  <c r="T87" i="2"/>
  <c r="S87" i="2"/>
  <c r="R87" i="2"/>
  <c r="T86" i="2"/>
  <c r="S86" i="2"/>
  <c r="R86" i="2"/>
  <c r="T85" i="2"/>
  <c r="S85" i="2"/>
  <c r="R85" i="2"/>
  <c r="T84" i="2"/>
  <c r="S84" i="2"/>
  <c r="R84" i="2"/>
  <c r="T83" i="2"/>
  <c r="S83" i="2"/>
  <c r="R83" i="2"/>
  <c r="T82" i="2"/>
  <c r="S82" i="2"/>
  <c r="R82" i="2"/>
  <c r="T81" i="2"/>
  <c r="S81" i="2"/>
  <c r="R81" i="2"/>
  <c r="T80" i="2"/>
  <c r="S80" i="2"/>
  <c r="R80" i="2"/>
  <c r="T79" i="2"/>
  <c r="S79" i="2"/>
  <c r="R79" i="2"/>
  <c r="T78" i="2"/>
  <c r="S78" i="2"/>
  <c r="R78" i="2"/>
  <c r="T77" i="2"/>
  <c r="S77" i="2"/>
  <c r="R77" i="2"/>
  <c r="T76" i="2"/>
  <c r="S76" i="2"/>
  <c r="R76" i="2"/>
  <c r="T75" i="2"/>
  <c r="S75" i="2"/>
  <c r="R75" i="2"/>
  <c r="T74" i="2"/>
  <c r="S74" i="2"/>
  <c r="R74" i="2"/>
  <c r="T73" i="2"/>
  <c r="S73" i="2"/>
  <c r="R73" i="2"/>
  <c r="T72" i="2"/>
  <c r="S72" i="2"/>
  <c r="R72" i="2"/>
  <c r="T71" i="2"/>
  <c r="S71" i="2"/>
  <c r="R71" i="2"/>
  <c r="T70" i="2"/>
  <c r="S70" i="2"/>
  <c r="R70" i="2"/>
  <c r="T69" i="2"/>
  <c r="S69" i="2"/>
  <c r="R69" i="2"/>
  <c r="T68" i="2"/>
  <c r="S68" i="2"/>
  <c r="R68" i="2"/>
  <c r="T67" i="2"/>
  <c r="S67" i="2"/>
  <c r="R67" i="2"/>
  <c r="T66" i="2"/>
  <c r="S66" i="2"/>
  <c r="R66" i="2"/>
  <c r="T65" i="2"/>
  <c r="S65" i="2"/>
  <c r="R65" i="2"/>
  <c r="T64" i="2"/>
  <c r="S64" i="2"/>
  <c r="R64" i="2"/>
  <c r="T63" i="2"/>
  <c r="S63" i="2"/>
  <c r="R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T56" i="2"/>
  <c r="S56" i="2"/>
  <c r="R56" i="2"/>
  <c r="T55" i="2"/>
  <c r="S55" i="2"/>
  <c r="R55" i="2"/>
  <c r="T54" i="2"/>
  <c r="S54" i="2"/>
  <c r="R54" i="2"/>
  <c r="T53" i="2"/>
  <c r="S53" i="2"/>
  <c r="R53" i="2"/>
  <c r="T52" i="2"/>
  <c r="S52" i="2"/>
  <c r="R52" i="2"/>
  <c r="T51" i="2"/>
  <c r="S51" i="2"/>
  <c r="R51" i="2"/>
  <c r="T50" i="2"/>
  <c r="S50" i="2"/>
  <c r="R50" i="2"/>
  <c r="T49" i="2"/>
  <c r="S49" i="2"/>
  <c r="R49" i="2"/>
  <c r="T48" i="2"/>
  <c r="S48" i="2"/>
  <c r="R48" i="2"/>
  <c r="T47" i="2"/>
  <c r="S47" i="2"/>
  <c r="R47" i="2"/>
  <c r="T46" i="2"/>
  <c r="S46" i="2"/>
  <c r="R46" i="2"/>
  <c r="T45" i="2"/>
  <c r="S45" i="2"/>
  <c r="R45" i="2"/>
  <c r="T44" i="2"/>
  <c r="S44" i="2"/>
  <c r="R44" i="2"/>
  <c r="T43" i="2"/>
  <c r="S43" i="2"/>
  <c r="R43" i="2"/>
  <c r="T42" i="2"/>
  <c r="S42" i="2"/>
  <c r="R42" i="2"/>
  <c r="T41" i="2"/>
  <c r="S41" i="2"/>
  <c r="R41" i="2"/>
  <c r="T40" i="2"/>
  <c r="S40" i="2"/>
  <c r="R40" i="2"/>
  <c r="T39" i="2"/>
  <c r="S39" i="2"/>
  <c r="R39" i="2"/>
  <c r="T38" i="2"/>
  <c r="S38" i="2"/>
  <c r="R38" i="2"/>
  <c r="T37" i="2"/>
  <c r="S37" i="2"/>
  <c r="R37" i="2"/>
  <c r="T36" i="2"/>
  <c r="S36" i="2"/>
  <c r="R36" i="2"/>
  <c r="T35" i="2"/>
  <c r="S35" i="2"/>
  <c r="R35" i="2"/>
  <c r="T34" i="2"/>
  <c r="S34" i="2"/>
  <c r="R34" i="2"/>
  <c r="T33" i="2"/>
  <c r="S33" i="2"/>
  <c r="R33" i="2"/>
  <c r="T32" i="2"/>
  <c r="S32" i="2"/>
  <c r="R32" i="2"/>
  <c r="T31" i="2"/>
  <c r="S31" i="2"/>
  <c r="R3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</calcChain>
</file>

<file path=xl/sharedStrings.xml><?xml version="1.0" encoding="utf-8"?>
<sst xmlns="http://schemas.openxmlformats.org/spreadsheetml/2006/main" count="54" uniqueCount="27">
  <si>
    <t>Step</t>
  </si>
  <si>
    <t>Temp</t>
  </si>
  <si>
    <t>TotEng</t>
  </si>
  <si>
    <t>E_bond</t>
  </si>
  <si>
    <t>E_angle</t>
  </si>
  <si>
    <t>E_dihed</t>
  </si>
  <si>
    <t>Pxx</t>
  </si>
  <si>
    <t>Pyy</t>
  </si>
  <si>
    <t>Lx</t>
  </si>
  <si>
    <t>Ly</t>
  </si>
  <si>
    <t>Lz</t>
  </si>
  <si>
    <t>scale</t>
  </si>
  <si>
    <t>Pxy</t>
  </si>
  <si>
    <t>Xy</t>
  </si>
  <si>
    <t># m</t>
  </si>
  <si>
    <t>atm</t>
  </si>
  <si>
    <t># Pa</t>
  </si>
  <si>
    <r>
      <t xml:space="preserve"># atm </t>
    </r>
    <r>
      <rPr>
        <sz val="11"/>
        <color theme="1"/>
        <rFont val="Courier New"/>
        <family val="3"/>
      </rPr>
      <t>Å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Garamond"/>
        <family val="1"/>
      </rPr>
      <t>→</t>
    </r>
    <r>
      <rPr>
        <sz val="11"/>
        <color theme="1"/>
        <rFont val="Aptos Narrow"/>
        <family val="2"/>
        <scheme val="minor"/>
      </rPr>
      <t xml:space="preserve"> Pa m</t>
    </r>
  </si>
  <si>
    <t>v_exx</t>
  </si>
  <si>
    <t>v_eyy</t>
  </si>
  <si>
    <t>v_exy</t>
  </si>
  <si>
    <r>
      <t>v=-</t>
    </r>
    <r>
      <rPr>
        <i/>
        <sz val="11"/>
        <color theme="1"/>
        <rFont val="Aptos Narrow"/>
        <family val="2"/>
        <scheme val="minor"/>
      </rPr>
      <t>ε</t>
    </r>
    <r>
      <rPr>
        <i/>
        <vertAlign val="subscript"/>
        <sz val="11"/>
        <color theme="1"/>
        <rFont val="Aptos Narrow"/>
        <family val="2"/>
        <scheme val="minor"/>
      </rPr>
      <t>yy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>ε</t>
    </r>
    <r>
      <rPr>
        <i/>
        <vertAlign val="subscript"/>
        <sz val="11"/>
        <color theme="1"/>
        <rFont val="Aptos Narrow"/>
        <family val="2"/>
        <scheme val="minor"/>
      </rPr>
      <t>xx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</si>
  <si>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xx</t>
    </r>
    <r>
      <rPr>
        <sz val="11"/>
        <color theme="1"/>
        <rFont val="Aptos Narrow"/>
        <family val="2"/>
        <scheme val="minor"/>
      </rPr>
      <t xml:space="preserve"> [Pa m]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</si>
  <si>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yy</t>
    </r>
    <r>
      <rPr>
        <sz val="11"/>
        <color theme="1"/>
        <rFont val="Aptos Narrow"/>
        <family val="2"/>
        <scheme val="minor"/>
      </rPr>
      <t xml:space="preserve"> [Pa m]</t>
    </r>
  </si>
  <si>
    <r>
      <rPr>
        <i/>
        <sz val="11"/>
        <color theme="1"/>
        <rFont val="Aptos Narrow"/>
        <family val="2"/>
        <scheme val="minor"/>
      </rPr>
      <t>σ</t>
    </r>
    <r>
      <rPr>
        <i/>
        <vertAlign val="subscript"/>
        <sz val="11"/>
        <color theme="1"/>
        <rFont val="Aptos Narrow"/>
        <family val="2"/>
        <scheme val="minor"/>
      </rPr>
      <t>xy</t>
    </r>
    <r>
      <rPr>
        <sz val="11"/>
        <color theme="1"/>
        <rFont val="Aptos Narrow"/>
        <family val="2"/>
        <scheme val="minor"/>
      </rPr>
      <t xml:space="preserve"> [Pa m]</t>
    </r>
  </si>
  <si>
    <t>nx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</si>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</sst>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Garamond"/>
      <family val="1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C</a:t>
            </a:r>
            <a:r>
              <a:rPr lang="en-US" i="1" baseline="-25000"/>
              <a:t>xxxx</a:t>
            </a:r>
            <a:r>
              <a:rPr lang="en-US"/>
              <a:t> = </a:t>
            </a:r>
            <a:r>
              <a:rPr lang="en-US" i="1"/>
              <a:t>C</a:t>
            </a:r>
            <a:r>
              <a:rPr lang="en-US" baseline="-25000"/>
              <a:t>11</a:t>
            </a:r>
            <a:r>
              <a:rPr lang="en-US"/>
              <a:t> (Voight)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x_const_y!$C$9:$C$110</c:f>
              <c:numCache>
                <c:formatCode>General</c:formatCode>
                <c:ptCount val="102"/>
                <c:pt idx="0">
                  <c:v>5.6512606999999999E-16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</c:numCache>
            </c:numRef>
          </c:xVal>
          <c:yVal>
            <c:numRef>
              <c:f>x_const_y!$R$9:$R$110</c:f>
              <c:numCache>
                <c:formatCode>General</c:formatCode>
                <c:ptCount val="102"/>
                <c:pt idx="0">
                  <c:v>1.8756199822499999E-3</c:v>
                </c:pt>
                <c:pt idx="1">
                  <c:v>2.8144996614000002E-2</c:v>
                </c:pt>
                <c:pt idx="2">
                  <c:v>5.5192320251250003E-2</c:v>
                </c:pt>
                <c:pt idx="3">
                  <c:v>8.7314519685750006E-2</c:v>
                </c:pt>
                <c:pt idx="4">
                  <c:v>0.11004369201000001</c:v>
                </c:pt>
                <c:pt idx="5">
                  <c:v>0.14552867973</c:v>
                </c:pt>
                <c:pt idx="6">
                  <c:v>0.16579671947999999</c:v>
                </c:pt>
                <c:pt idx="7">
                  <c:v>0.20003733487500003</c:v>
                </c:pt>
                <c:pt idx="8">
                  <c:v>0.22462923661500001</c:v>
                </c:pt>
                <c:pt idx="9">
                  <c:v>0.2542650259275</c:v>
                </c:pt>
                <c:pt idx="10">
                  <c:v>0.28350508031999999</c:v>
                </c:pt>
                <c:pt idx="11">
                  <c:v>0.30898329209999997</c:v>
                </c:pt>
                <c:pt idx="12">
                  <c:v>0.34033317617250003</c:v>
                </c:pt>
                <c:pt idx="13">
                  <c:v>0.36383510462250002</c:v>
                </c:pt>
                <c:pt idx="14">
                  <c:v>0.39853391166750002</c:v>
                </c:pt>
                <c:pt idx="15">
                  <c:v>0.41921381727749996</c:v>
                </c:pt>
                <c:pt idx="16">
                  <c:v>0.45490442382000001</c:v>
                </c:pt>
                <c:pt idx="17">
                  <c:v>0.47626920537</c:v>
                </c:pt>
                <c:pt idx="18">
                  <c:v>0.51087874508999997</c:v>
                </c:pt>
                <c:pt idx="19">
                  <c:v>0.53238129824250002</c:v>
                </c:pt>
                <c:pt idx="20">
                  <c:v>0.56777743407000003</c:v>
                </c:pt>
                <c:pt idx="21">
                  <c:v>0.58758814343249999</c:v>
                </c:pt>
                <c:pt idx="22">
                  <c:v>0.62354219497499996</c:v>
                </c:pt>
                <c:pt idx="23">
                  <c:v>0.64348090820999992</c:v>
                </c:pt>
                <c:pt idx="24">
                  <c:v>0.67998423244499995</c:v>
                </c:pt>
                <c:pt idx="25">
                  <c:v>0.70047315056249992</c:v>
                </c:pt>
                <c:pt idx="26">
                  <c:v>0.73624725903749999</c:v>
                </c:pt>
                <c:pt idx="27">
                  <c:v>0.75655614289499995</c:v>
                </c:pt>
                <c:pt idx="28">
                  <c:v>0.79064801319000011</c:v>
                </c:pt>
                <c:pt idx="29">
                  <c:v>0.8138872464450001</c:v>
                </c:pt>
                <c:pt idx="30">
                  <c:v>0.84710338503000004</c:v>
                </c:pt>
                <c:pt idx="31">
                  <c:v>0.869798989395</c:v>
                </c:pt>
                <c:pt idx="32">
                  <c:v>0.90166904562000005</c:v>
                </c:pt>
                <c:pt idx="33">
                  <c:v>0.92652132221249994</c:v>
                </c:pt>
                <c:pt idx="34">
                  <c:v>0.95562036260249994</c:v>
                </c:pt>
                <c:pt idx="35">
                  <c:v>0.98491475759249991</c:v>
                </c:pt>
                <c:pt idx="36">
                  <c:v>1.0092675728625</c:v>
                </c:pt>
                <c:pt idx="37">
                  <c:v>1.042704468225</c:v>
                </c:pt>
                <c:pt idx="38">
                  <c:v>1.06311588285</c:v>
                </c:pt>
                <c:pt idx="39">
                  <c:v>1.0988633428500001</c:v>
                </c:pt>
                <c:pt idx="40">
                  <c:v>1.1198889896249999</c:v>
                </c:pt>
                <c:pt idx="41">
                  <c:v>1.153129871775</c:v>
                </c:pt>
                <c:pt idx="42">
                  <c:v>1.17811894725</c:v>
                </c:pt>
                <c:pt idx="43">
                  <c:v>1.2053940160500001</c:v>
                </c:pt>
                <c:pt idx="44">
                  <c:v>1.237056153375</c:v>
                </c:pt>
                <c:pt idx="45">
                  <c:v>1.2593085419249999</c:v>
                </c:pt>
                <c:pt idx="46">
                  <c:v>1.2940982780250001</c:v>
                </c:pt>
                <c:pt idx="47">
                  <c:v>1.3163717421749999</c:v>
                </c:pt>
                <c:pt idx="48">
                  <c:v>1.34584221975</c:v>
                </c:pt>
                <c:pt idx="49">
                  <c:v>1.37543114625</c:v>
                </c:pt>
                <c:pt idx="50">
                  <c:v>1.398365756025</c:v>
                </c:pt>
                <c:pt idx="51">
                  <c:v>1.4327084462249999</c:v>
                </c:pt>
                <c:pt idx="52">
                  <c:v>1.4543100243</c:v>
                </c:pt>
                <c:pt idx="53">
                  <c:v>1.4841874230750001</c:v>
                </c:pt>
                <c:pt idx="54">
                  <c:v>1.5137346036749999</c:v>
                </c:pt>
                <c:pt idx="55">
                  <c:v>1.535692136475</c:v>
                </c:pt>
                <c:pt idx="56">
                  <c:v>1.5703615998000002</c:v>
                </c:pt>
                <c:pt idx="57">
                  <c:v>1.5941799662249998</c:v>
                </c:pt>
                <c:pt idx="58">
                  <c:v>1.6213209820500001</c:v>
                </c:pt>
                <c:pt idx="59">
                  <c:v>1.6538540077500001</c:v>
                </c:pt>
                <c:pt idx="60">
                  <c:v>1.6750256638499998</c:v>
                </c:pt>
                <c:pt idx="61">
                  <c:v>1.7062127895749999</c:v>
                </c:pt>
                <c:pt idx="62">
                  <c:v>1.7355597519749999</c:v>
                </c:pt>
                <c:pt idx="63">
                  <c:v>1.7573813066249999</c:v>
                </c:pt>
                <c:pt idx="64">
                  <c:v>1.7907403337249999</c:v>
                </c:pt>
                <c:pt idx="65">
                  <c:v>1.817785800075</c:v>
                </c:pt>
                <c:pt idx="66">
                  <c:v>1.84035239745</c:v>
                </c:pt>
                <c:pt idx="67">
                  <c:v>1.873332773025</c:v>
                </c:pt>
                <c:pt idx="68">
                  <c:v>1.8998457765000001</c:v>
                </c:pt>
                <c:pt idx="69">
                  <c:v>1.9224923192999999</c:v>
                </c:pt>
                <c:pt idx="70">
                  <c:v>1.95661351305</c:v>
                </c:pt>
                <c:pt idx="71">
                  <c:v>1.9827573895499999</c:v>
                </c:pt>
                <c:pt idx="72">
                  <c:v>2.0051432231250002</c:v>
                </c:pt>
                <c:pt idx="73">
                  <c:v>2.0379136533</c:v>
                </c:pt>
                <c:pt idx="74">
                  <c:v>2.0657385115500002</c:v>
                </c:pt>
                <c:pt idx="75">
                  <c:v>2.0883075407249998</c:v>
                </c:pt>
                <c:pt idx="76">
                  <c:v>2.11927823625</c:v>
                </c:pt>
                <c:pt idx="77">
                  <c:v>2.1499775834250001</c:v>
                </c:pt>
                <c:pt idx="78">
                  <c:v>2.1706599411000003</c:v>
                </c:pt>
                <c:pt idx="79">
                  <c:v>2.2001321412000001</c:v>
                </c:pt>
                <c:pt idx="80">
                  <c:v>2.2325120648249999</c:v>
                </c:pt>
                <c:pt idx="81">
                  <c:v>2.2550422865250002</c:v>
                </c:pt>
                <c:pt idx="82">
                  <c:v>2.2803137547749999</c:v>
                </c:pt>
                <c:pt idx="83">
                  <c:v>2.313525860625</c:v>
                </c:pt>
                <c:pt idx="84">
                  <c:v>2.3403375702</c:v>
                </c:pt>
                <c:pt idx="85">
                  <c:v>2.3623266150750002</c:v>
                </c:pt>
                <c:pt idx="86">
                  <c:v>2.3930329536749997</c:v>
                </c:pt>
                <c:pt idx="87">
                  <c:v>2.4242581776000001</c:v>
                </c:pt>
                <c:pt idx="88">
                  <c:v>2.4480710724749999</c:v>
                </c:pt>
                <c:pt idx="89">
                  <c:v>2.4719287529999998</c:v>
                </c:pt>
                <c:pt idx="90">
                  <c:v>2.5031607657000001</c:v>
                </c:pt>
                <c:pt idx="91">
                  <c:v>2.5324310250750002</c:v>
                </c:pt>
                <c:pt idx="92">
                  <c:v>2.5561860633750002</c:v>
                </c:pt>
                <c:pt idx="93">
                  <c:v>2.5813593476999999</c:v>
                </c:pt>
                <c:pt idx="94">
                  <c:v>2.6137649065500002</c:v>
                </c:pt>
                <c:pt idx="95">
                  <c:v>2.6423114014499998</c:v>
                </c:pt>
                <c:pt idx="96">
                  <c:v>2.663285169825</c:v>
                </c:pt>
                <c:pt idx="97">
                  <c:v>2.6898635279250001</c:v>
                </c:pt>
                <c:pt idx="98">
                  <c:v>2.7231688527749998</c:v>
                </c:pt>
                <c:pt idx="99">
                  <c:v>2.7508441553250003</c:v>
                </c:pt>
                <c:pt idx="100">
                  <c:v>2.7737648835750002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9-4955-893F-F2CE4CB0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384"/>
        <c:axId val="566340640"/>
      </c:scatterChart>
      <c:valAx>
        <c:axId val="57529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ε</a:t>
                </a:r>
                <a:r>
                  <a:rPr lang="en-US" i="1" baseline="-25000"/>
                  <a:t>xx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40640"/>
        <c:crosses val="autoZero"/>
        <c:crossBetween val="midCat"/>
      </c:valAx>
      <c:valAx>
        <c:axId val="5663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σ</a:t>
                </a:r>
                <a:r>
                  <a:rPr lang="en-US" i="1" baseline="-25000"/>
                  <a:t>xx  </a:t>
                </a:r>
                <a:r>
                  <a:rPr lang="en-US" baseline="0"/>
                  <a:t>[Pa 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C</a:t>
            </a:r>
            <a:r>
              <a:rPr lang="en-US" baseline="-25000"/>
              <a:t>xxyy</a:t>
            </a:r>
            <a:r>
              <a:rPr lang="en-US"/>
              <a:t> = </a:t>
            </a:r>
            <a:r>
              <a:rPr lang="en-US" i="1"/>
              <a:t>C</a:t>
            </a:r>
            <a:r>
              <a:rPr lang="en-US" baseline="-25000"/>
              <a:t>12</a:t>
            </a:r>
            <a:r>
              <a:rPr lang="en-US"/>
              <a:t> (Voight)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x_const_y!$C$9:$C$110</c:f>
              <c:numCache>
                <c:formatCode>General</c:formatCode>
                <c:ptCount val="102"/>
                <c:pt idx="0">
                  <c:v>5.6512606999999999E-16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</c:numCache>
            </c:numRef>
          </c:xVal>
          <c:yVal>
            <c:numRef>
              <c:f>x_const_y!$S$9:$S$110</c:f>
              <c:numCache>
                <c:formatCode>General</c:formatCode>
                <c:ptCount val="102"/>
                <c:pt idx="0">
                  <c:v>-1.493755542825E-3</c:v>
                </c:pt>
                <c:pt idx="1">
                  <c:v>7.2947451365250006E-3</c:v>
                </c:pt>
                <c:pt idx="2">
                  <c:v>1.6338215486249998E-2</c:v>
                </c:pt>
                <c:pt idx="3">
                  <c:v>2.0290014102749998E-2</c:v>
                </c:pt>
                <c:pt idx="4">
                  <c:v>3.45420106605E-2</c:v>
                </c:pt>
                <c:pt idx="5">
                  <c:v>3.5031755928749998E-2</c:v>
                </c:pt>
                <c:pt idx="6">
                  <c:v>5.0084033548500002E-2</c:v>
                </c:pt>
                <c:pt idx="7">
                  <c:v>5.1435924870750001E-2</c:v>
                </c:pt>
                <c:pt idx="8">
                  <c:v>6.3472098705750005E-2</c:v>
                </c:pt>
                <c:pt idx="9">
                  <c:v>7.0038342727500008E-2</c:v>
                </c:pt>
                <c:pt idx="10">
                  <c:v>7.6630956580499995E-2</c:v>
                </c:pt>
                <c:pt idx="11">
                  <c:v>8.6380686194250003E-2</c:v>
                </c:pt>
                <c:pt idx="12">
                  <c:v>9.0973993650750012E-2</c:v>
                </c:pt>
                <c:pt idx="13">
                  <c:v>0.10298913140249999</c:v>
                </c:pt>
                <c:pt idx="14">
                  <c:v>0.1046164109025</c:v>
                </c:pt>
                <c:pt idx="15">
                  <c:v>0.11993337678</c:v>
                </c:pt>
                <c:pt idx="16">
                  <c:v>0.119953499925</c:v>
                </c:pt>
                <c:pt idx="17">
                  <c:v>0.13466584939500001</c:v>
                </c:pt>
                <c:pt idx="18">
                  <c:v>0.1351016786175</c:v>
                </c:pt>
                <c:pt idx="19">
                  <c:v>0.150035635995</c:v>
                </c:pt>
                <c:pt idx="20">
                  <c:v>0.15023377703250002</c:v>
                </c:pt>
                <c:pt idx="21">
                  <c:v>0.16609306470750002</c:v>
                </c:pt>
                <c:pt idx="22">
                  <c:v>0.16527298068749999</c:v>
                </c:pt>
                <c:pt idx="23">
                  <c:v>0.181366663485</c:v>
                </c:pt>
                <c:pt idx="24">
                  <c:v>0.18061435575750001</c:v>
                </c:pt>
                <c:pt idx="25">
                  <c:v>0.1962335639775</c:v>
                </c:pt>
                <c:pt idx="26">
                  <c:v>0.19509031400250001</c:v>
                </c:pt>
                <c:pt idx="27">
                  <c:v>0.2102102736825</c:v>
                </c:pt>
                <c:pt idx="28">
                  <c:v>0.2116915033275</c:v>
                </c:pt>
                <c:pt idx="29">
                  <c:v>0.22536095510250001</c:v>
                </c:pt>
                <c:pt idx="30">
                  <c:v>0.22716041617500002</c:v>
                </c:pt>
                <c:pt idx="31">
                  <c:v>0.23997158440499999</c:v>
                </c:pt>
                <c:pt idx="32">
                  <c:v>0.24349223298749997</c:v>
                </c:pt>
                <c:pt idx="33">
                  <c:v>0.25377823023000001</c:v>
                </c:pt>
                <c:pt idx="34">
                  <c:v>0.26011754779500001</c:v>
                </c:pt>
                <c:pt idx="35">
                  <c:v>0.26675809445249998</c:v>
                </c:pt>
                <c:pt idx="36">
                  <c:v>0.27781116247500004</c:v>
                </c:pt>
                <c:pt idx="37">
                  <c:v>0.2796321449775</c:v>
                </c:pt>
                <c:pt idx="38">
                  <c:v>0.29455084280999999</c:v>
                </c:pt>
                <c:pt idx="39">
                  <c:v>0.29425780077750002</c:v>
                </c:pt>
                <c:pt idx="40">
                  <c:v>0.30946714937249997</c:v>
                </c:pt>
                <c:pt idx="41">
                  <c:v>0.31032562543500003</c:v>
                </c:pt>
                <c:pt idx="42">
                  <c:v>0.32102566702500002</c:v>
                </c:pt>
                <c:pt idx="43">
                  <c:v>0.32917069741499999</c:v>
                </c:pt>
                <c:pt idx="44">
                  <c:v>0.33212740144499997</c:v>
                </c:pt>
                <c:pt idx="45">
                  <c:v>0.34555581117750001</c:v>
                </c:pt>
                <c:pt idx="46">
                  <c:v>0.34651934100000004</c:v>
                </c:pt>
                <c:pt idx="47">
                  <c:v>0.35921517098250005</c:v>
                </c:pt>
                <c:pt idx="48">
                  <c:v>0.364506940035</c:v>
                </c:pt>
                <c:pt idx="49">
                  <c:v>0.37052025454500004</c:v>
                </c:pt>
                <c:pt idx="50">
                  <c:v>0.38268863724000002</c:v>
                </c:pt>
                <c:pt idx="51">
                  <c:v>0.3836551460175</c:v>
                </c:pt>
                <c:pt idx="52">
                  <c:v>0.39744969363749999</c:v>
                </c:pt>
                <c:pt idx="53">
                  <c:v>0.402173130765</c:v>
                </c:pt>
                <c:pt idx="54">
                  <c:v>0.40749569248499995</c:v>
                </c:pt>
                <c:pt idx="55">
                  <c:v>0.42091397985000001</c:v>
                </c:pt>
                <c:pt idx="56">
                  <c:v>0.42095464157250001</c:v>
                </c:pt>
                <c:pt idx="57">
                  <c:v>0.43273565879249998</c:v>
                </c:pt>
                <c:pt idx="58">
                  <c:v>0.44012411567249998</c:v>
                </c:pt>
                <c:pt idx="59">
                  <c:v>0.44262697489499997</c:v>
                </c:pt>
                <c:pt idx="60">
                  <c:v>0.45742779122249999</c:v>
                </c:pt>
                <c:pt idx="61">
                  <c:v>0.46085365026749997</c:v>
                </c:pt>
                <c:pt idx="62">
                  <c:v>0.46601493298499996</c:v>
                </c:pt>
                <c:pt idx="63">
                  <c:v>0.47914109024250001</c:v>
                </c:pt>
                <c:pt idx="64">
                  <c:v>0.48060913750500001</c:v>
                </c:pt>
                <c:pt idx="65">
                  <c:v>0.48883690988999995</c:v>
                </c:pt>
                <c:pt idx="66">
                  <c:v>0.5011699355775</c:v>
                </c:pt>
                <c:pt idx="67">
                  <c:v>0.50247119175749999</c:v>
                </c:pt>
                <c:pt idx="68">
                  <c:v>0.51085868274000001</c:v>
                </c:pt>
                <c:pt idx="69">
                  <c:v>0.52346087828999999</c:v>
                </c:pt>
                <c:pt idx="70">
                  <c:v>0.52430586799500001</c:v>
                </c:pt>
                <c:pt idx="71">
                  <c:v>0.53281812044999999</c:v>
                </c:pt>
                <c:pt idx="72">
                  <c:v>0.54501553275750003</c:v>
                </c:pt>
                <c:pt idx="73">
                  <c:v>0.54664626744</c:v>
                </c:pt>
                <c:pt idx="74">
                  <c:v>0.55441432830000004</c:v>
                </c:pt>
                <c:pt idx="75">
                  <c:v>0.56628583887750006</c:v>
                </c:pt>
                <c:pt idx="76">
                  <c:v>0.56967554516250007</c:v>
                </c:pt>
                <c:pt idx="77">
                  <c:v>0.57341169175500006</c:v>
                </c:pt>
                <c:pt idx="78">
                  <c:v>0.58774274511750002</c:v>
                </c:pt>
                <c:pt idx="79">
                  <c:v>0.59278514321249998</c:v>
                </c:pt>
                <c:pt idx="80">
                  <c:v>0.59429810784750003</c:v>
                </c:pt>
                <c:pt idx="81">
                  <c:v>0.60714395962500001</c:v>
                </c:pt>
                <c:pt idx="82">
                  <c:v>0.6168530123175</c:v>
                </c:pt>
                <c:pt idx="83">
                  <c:v>0.61812242205000001</c:v>
                </c:pt>
                <c:pt idx="84">
                  <c:v>0.62521455396750003</c:v>
                </c:pt>
                <c:pt idx="85">
                  <c:v>0.63847590917250008</c:v>
                </c:pt>
                <c:pt idx="86">
                  <c:v>0.64225266682500004</c:v>
                </c:pt>
                <c:pt idx="87">
                  <c:v>0.64513230306000002</c:v>
                </c:pt>
                <c:pt idx="88">
                  <c:v>0.65652092908500004</c:v>
                </c:pt>
                <c:pt idx="89">
                  <c:v>0.66639260840250003</c:v>
                </c:pt>
                <c:pt idx="90">
                  <c:v>0.66965488836749998</c:v>
                </c:pt>
                <c:pt idx="91">
                  <c:v>0.67411424214750004</c:v>
                </c:pt>
                <c:pt idx="92">
                  <c:v>0.68557064446500005</c:v>
                </c:pt>
                <c:pt idx="93">
                  <c:v>0.69503654755499999</c:v>
                </c:pt>
                <c:pt idx="94">
                  <c:v>0.69670382003249998</c:v>
                </c:pt>
                <c:pt idx="95">
                  <c:v>0.70216011048750004</c:v>
                </c:pt>
                <c:pt idx="96">
                  <c:v>0.71580846639749995</c:v>
                </c:pt>
                <c:pt idx="97">
                  <c:v>0.72404320994250004</c:v>
                </c:pt>
                <c:pt idx="98">
                  <c:v>0.72503388473250008</c:v>
                </c:pt>
                <c:pt idx="99">
                  <c:v>0.73127187729749998</c:v>
                </c:pt>
                <c:pt idx="100">
                  <c:v>0.74235432957000003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6C-4E2D-AEA6-401FF72B7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384"/>
        <c:axId val="566340640"/>
      </c:scatterChart>
      <c:valAx>
        <c:axId val="57529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ε</a:t>
                </a:r>
                <a:r>
                  <a:rPr lang="en-US" i="1" baseline="-25000"/>
                  <a:t>xx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40640"/>
        <c:crosses val="autoZero"/>
        <c:crossBetween val="midCat"/>
      </c:valAx>
      <c:valAx>
        <c:axId val="5663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σ</a:t>
                </a:r>
                <a:r>
                  <a:rPr lang="en-US" i="1" baseline="-25000"/>
                  <a:t>yy</a:t>
                </a:r>
                <a:r>
                  <a:rPr lang="en-US" baseline="0"/>
                  <a:t> [Pa 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C</a:t>
            </a:r>
            <a:r>
              <a:rPr lang="en-US" i="1" baseline="-25000"/>
              <a:t>xyxy</a:t>
            </a:r>
            <a:r>
              <a:rPr lang="en-US"/>
              <a:t> = </a:t>
            </a:r>
            <a:r>
              <a:rPr lang="en-US" i="1"/>
              <a:t>C</a:t>
            </a:r>
            <a:r>
              <a:rPr lang="en-US" baseline="-25000"/>
              <a:t>66</a:t>
            </a:r>
            <a:r>
              <a:rPr lang="en-US"/>
              <a:t> (Voight)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xy_shear!$E$9:$E$110</c:f>
              <c:numCache>
                <c:formatCode>General</c:formatCode>
                <c:ptCount val="102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5.0000000000000001E-4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1E-3</c:v>
                </c:pt>
                <c:pt idx="11">
                  <c:v>1.1000000000000001E-3</c:v>
                </c:pt>
                <c:pt idx="12">
                  <c:v>1.1999999999999999E-3</c:v>
                </c:pt>
                <c:pt idx="13">
                  <c:v>1.2999999999999999E-3</c:v>
                </c:pt>
                <c:pt idx="14">
                  <c:v>1.4E-3</c:v>
                </c:pt>
                <c:pt idx="15">
                  <c:v>1.5E-3</c:v>
                </c:pt>
                <c:pt idx="16">
                  <c:v>1.6000000000000001E-3</c:v>
                </c:pt>
                <c:pt idx="17">
                  <c:v>1.6999999999999999E-3</c:v>
                </c:pt>
                <c:pt idx="18">
                  <c:v>1.8E-3</c:v>
                </c:pt>
                <c:pt idx="19">
                  <c:v>1.9E-3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2.3999999999999998E-3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2.8E-3</c:v>
                </c:pt>
                <c:pt idx="29">
                  <c:v>2.8999999999999998E-3</c:v>
                </c:pt>
                <c:pt idx="30">
                  <c:v>3.0000000000000001E-3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3.3E-3</c:v>
                </c:pt>
                <c:pt idx="34">
                  <c:v>3.3999999999999998E-3</c:v>
                </c:pt>
                <c:pt idx="35">
                  <c:v>3.5000000000000001E-3</c:v>
                </c:pt>
                <c:pt idx="36">
                  <c:v>3.5999999999999999E-3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4.0000000000000001E-3</c:v>
                </c:pt>
                <c:pt idx="41">
                  <c:v>4.1000000000000003E-3</c:v>
                </c:pt>
                <c:pt idx="42">
                  <c:v>4.1999999999999997E-3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4.4999999999999997E-3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4.7999999999999996E-3</c:v>
                </c:pt>
                <c:pt idx="49">
                  <c:v>4.8999999999999998E-3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5.5999999999999999E-3</c:v>
                </c:pt>
                <c:pt idx="57">
                  <c:v>5.7000000000000002E-3</c:v>
                </c:pt>
                <c:pt idx="58">
                  <c:v>5.7999999999999996E-3</c:v>
                </c:pt>
                <c:pt idx="59">
                  <c:v>5.8999999999999999E-3</c:v>
                </c:pt>
                <c:pt idx="60">
                  <c:v>6.0000000000000001E-3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6.3E-3</c:v>
                </c:pt>
                <c:pt idx="64">
                  <c:v>6.4000000000000003E-3</c:v>
                </c:pt>
                <c:pt idx="65">
                  <c:v>6.4999999999999997E-3</c:v>
                </c:pt>
                <c:pt idx="66">
                  <c:v>6.6E-3</c:v>
                </c:pt>
                <c:pt idx="67">
                  <c:v>6.7000000000000002E-3</c:v>
                </c:pt>
                <c:pt idx="68">
                  <c:v>6.7999999999999996E-3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7.1000000000000004E-3</c:v>
                </c:pt>
                <c:pt idx="72">
                  <c:v>7.1999999999999998E-3</c:v>
                </c:pt>
                <c:pt idx="73">
                  <c:v>7.3000000000000001E-3</c:v>
                </c:pt>
                <c:pt idx="74">
                  <c:v>7.4000000000000003E-3</c:v>
                </c:pt>
                <c:pt idx="75">
                  <c:v>7.4999999999999997E-3</c:v>
                </c:pt>
                <c:pt idx="76">
                  <c:v>7.6E-3</c:v>
                </c:pt>
                <c:pt idx="77">
                  <c:v>7.7000000000000002E-3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8.0000000000000002E-3</c:v>
                </c:pt>
                <c:pt idx="81">
                  <c:v>8.0999999999999996E-3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8.3999999999999995E-3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8.8999999999999999E-3</c:v>
                </c:pt>
                <c:pt idx="90">
                  <c:v>8.9999999999999993E-3</c:v>
                </c:pt>
                <c:pt idx="91">
                  <c:v>9.1000000000000004E-3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9.5999999999999992E-3</c:v>
                </c:pt>
                <c:pt idx="97">
                  <c:v>9.7000000000000003E-3</c:v>
                </c:pt>
                <c:pt idx="98">
                  <c:v>9.7999999999999997E-3</c:v>
                </c:pt>
                <c:pt idx="99">
                  <c:v>9.9000000000000008E-3</c:v>
                </c:pt>
                <c:pt idx="100">
                  <c:v>0.01</c:v>
                </c:pt>
              </c:numCache>
            </c:numRef>
          </c:xVal>
          <c:yVal>
            <c:numRef>
              <c:f>xy_shear!$T$9:$T$110</c:f>
              <c:numCache>
                <c:formatCode>General</c:formatCode>
                <c:ptCount val="102"/>
                <c:pt idx="0">
                  <c:v>7.2985220259E-3</c:v>
                </c:pt>
                <c:pt idx="1">
                  <c:v>7.4093709679499999E-3</c:v>
                </c:pt>
                <c:pt idx="2">
                  <c:v>1.743030646875E-2</c:v>
                </c:pt>
                <c:pt idx="3">
                  <c:v>3.8339014061250003E-2</c:v>
                </c:pt>
                <c:pt idx="4">
                  <c:v>3.03548725725E-2</c:v>
                </c:pt>
                <c:pt idx="5">
                  <c:v>6.27850655565E-2</c:v>
                </c:pt>
                <c:pt idx="6">
                  <c:v>5.1681559975500002E-2</c:v>
                </c:pt>
                <c:pt idx="7">
                  <c:v>7.7657782103999998E-2</c:v>
                </c:pt>
                <c:pt idx="8">
                  <c:v>8.2177218569250005E-2</c:v>
                </c:pt>
                <c:pt idx="9">
                  <c:v>8.7214980032250006E-2</c:v>
                </c:pt>
                <c:pt idx="10">
                  <c:v>0.1116404422875</c:v>
                </c:pt>
                <c:pt idx="11">
                  <c:v>0.101737980435</c:v>
                </c:pt>
                <c:pt idx="12">
                  <c:v>0.13426169436749999</c:v>
                </c:pt>
                <c:pt idx="13">
                  <c:v>0.124981813845</c:v>
                </c:pt>
                <c:pt idx="14">
                  <c:v>0.1480343355225</c:v>
                </c:pt>
                <c:pt idx="15">
                  <c:v>0.154552461315</c:v>
                </c:pt>
                <c:pt idx="16">
                  <c:v>0.1581649711425</c:v>
                </c:pt>
                <c:pt idx="17">
                  <c:v>0.18295262265000001</c:v>
                </c:pt>
                <c:pt idx="18">
                  <c:v>0.17420449572750002</c:v>
                </c:pt>
                <c:pt idx="19">
                  <c:v>0.2044093769025</c:v>
                </c:pt>
                <c:pt idx="20">
                  <c:v>0.19861264458000003</c:v>
                </c:pt>
                <c:pt idx="21">
                  <c:v>0.21825718094250002</c:v>
                </c:pt>
                <c:pt idx="22">
                  <c:v>0.22678837104000002</c:v>
                </c:pt>
                <c:pt idx="23">
                  <c:v>0.23127647072249999</c:v>
                </c:pt>
                <c:pt idx="24">
                  <c:v>0.25240827569999996</c:v>
                </c:pt>
                <c:pt idx="25">
                  <c:v>0.24973066124999999</c:v>
                </c:pt>
                <c:pt idx="26">
                  <c:v>0.27233445503249998</c:v>
                </c:pt>
                <c:pt idx="27">
                  <c:v>0.27261000836999999</c:v>
                </c:pt>
                <c:pt idx="28">
                  <c:v>0.29035961524499998</c:v>
                </c:pt>
                <c:pt idx="29">
                  <c:v>0.2957416040775</c:v>
                </c:pt>
                <c:pt idx="30">
                  <c:v>0.30818025094500001</c:v>
                </c:pt>
                <c:pt idx="31">
                  <c:v>0.31764629588999999</c:v>
                </c:pt>
                <c:pt idx="32">
                  <c:v>0.32887812147750001</c:v>
                </c:pt>
                <c:pt idx="33">
                  <c:v>0.33864506114250004</c:v>
                </c:pt>
                <c:pt idx="34">
                  <c:v>0.3457179514425</c:v>
                </c:pt>
                <c:pt idx="35">
                  <c:v>0.36447370543500002</c:v>
                </c:pt>
                <c:pt idx="36">
                  <c:v>0.3620256630375</c:v>
                </c:pt>
                <c:pt idx="37">
                  <c:v>0.38833055509499997</c:v>
                </c:pt>
                <c:pt idx="38">
                  <c:v>0.38063254020749998</c:v>
                </c:pt>
                <c:pt idx="39">
                  <c:v>0.40706383520249995</c:v>
                </c:pt>
                <c:pt idx="40">
                  <c:v>0.40687200671249996</c:v>
                </c:pt>
                <c:pt idx="41">
                  <c:v>0.41827690553249997</c:v>
                </c:pt>
                <c:pt idx="42">
                  <c:v>0.43824905601750003</c:v>
                </c:pt>
                <c:pt idx="43">
                  <c:v>0.4302267909975</c:v>
                </c:pt>
                <c:pt idx="44">
                  <c:v>0.4624290311025</c:v>
                </c:pt>
                <c:pt idx="45">
                  <c:v>0.45147719688749999</c:v>
                </c:pt>
                <c:pt idx="46">
                  <c:v>0.47924766387750001</c:v>
                </c:pt>
                <c:pt idx="47">
                  <c:v>0.47840398126500006</c:v>
                </c:pt>
                <c:pt idx="48">
                  <c:v>0.49228705653749999</c:v>
                </c:pt>
                <c:pt idx="49">
                  <c:v>0.50379919773749993</c:v>
                </c:pt>
                <c:pt idx="50">
                  <c:v>0.51115551432749995</c:v>
                </c:pt>
                <c:pt idx="51">
                  <c:v>0.52418172460500001</c:v>
                </c:pt>
                <c:pt idx="52">
                  <c:v>0.53204491950749999</c:v>
                </c:pt>
                <c:pt idx="53">
                  <c:v>0.54511314926249999</c:v>
                </c:pt>
                <c:pt idx="54">
                  <c:v>0.55013624494500002</c:v>
                </c:pt>
                <c:pt idx="55">
                  <c:v>0.57025403998500002</c:v>
                </c:pt>
                <c:pt idx="56">
                  <c:v>0.56497463258250002</c:v>
                </c:pt>
                <c:pt idx="57">
                  <c:v>0.59559053862</c:v>
                </c:pt>
                <c:pt idx="58">
                  <c:v>0.58451281822500001</c:v>
                </c:pt>
                <c:pt idx="59">
                  <c:v>0.61177913254500005</c:v>
                </c:pt>
                <c:pt idx="60">
                  <c:v>0.61224690954000005</c:v>
                </c:pt>
                <c:pt idx="61">
                  <c:v>0.62454860553750002</c:v>
                </c:pt>
                <c:pt idx="62">
                  <c:v>0.64088390793000005</c:v>
                </c:pt>
                <c:pt idx="63">
                  <c:v>0.63980826199499996</c:v>
                </c:pt>
                <c:pt idx="64">
                  <c:v>0.661794652155</c:v>
                </c:pt>
                <c:pt idx="65">
                  <c:v>0.66253242987749994</c:v>
                </c:pt>
                <c:pt idx="66">
                  <c:v>0.67967721769500011</c:v>
                </c:pt>
                <c:pt idx="67">
                  <c:v>0.68323786938750009</c:v>
                </c:pt>
                <c:pt idx="68">
                  <c:v>0.70340128094249998</c:v>
                </c:pt>
                <c:pt idx="69">
                  <c:v>0.69891705187499997</c:v>
                </c:pt>
                <c:pt idx="70">
                  <c:v>0.72797418424500004</c:v>
                </c:pt>
                <c:pt idx="71">
                  <c:v>0.71798079333750009</c:v>
                </c:pt>
                <c:pt idx="72">
                  <c:v>0.74685036299999996</c:v>
                </c:pt>
                <c:pt idx="73">
                  <c:v>0.74492676866999996</c:v>
                </c:pt>
                <c:pt idx="74">
                  <c:v>0.75812461336499992</c:v>
                </c:pt>
                <c:pt idx="75">
                  <c:v>0.77274808054499999</c:v>
                </c:pt>
                <c:pt idx="76">
                  <c:v>0.77551427331</c:v>
                </c:pt>
                <c:pt idx="77">
                  <c:v>0.79151550717749997</c:v>
                </c:pt>
                <c:pt idx="78">
                  <c:v>0.79993635434999999</c:v>
                </c:pt>
                <c:pt idx="79">
                  <c:v>0.80987129086499998</c:v>
                </c:pt>
                <c:pt idx="80">
                  <c:v>0.81867139751250007</c:v>
                </c:pt>
                <c:pt idx="81">
                  <c:v>0.83644221170999999</c:v>
                </c:pt>
                <c:pt idx="82">
                  <c:v>0.83081210834999997</c:v>
                </c:pt>
                <c:pt idx="83">
                  <c:v>0.86337396101249997</c:v>
                </c:pt>
                <c:pt idx="84">
                  <c:v>0.84912842595000004</c:v>
                </c:pt>
                <c:pt idx="85">
                  <c:v>0.88144986478499998</c:v>
                </c:pt>
                <c:pt idx="86">
                  <c:v>0.87648101850750004</c:v>
                </c:pt>
                <c:pt idx="87">
                  <c:v>0.89413306967250006</c:v>
                </c:pt>
                <c:pt idx="88">
                  <c:v>0.90091795379249995</c:v>
                </c:pt>
                <c:pt idx="89">
                  <c:v>0.91702480884000004</c:v>
                </c:pt>
                <c:pt idx="90">
                  <c:v>0.91486355672250008</c:v>
                </c:pt>
                <c:pt idx="91">
                  <c:v>0.94288531984500001</c:v>
                </c:pt>
                <c:pt idx="92">
                  <c:v>0.93580066571249998</c:v>
                </c:pt>
                <c:pt idx="93">
                  <c:v>0.9564784434975</c:v>
                </c:pt>
                <c:pt idx="94">
                  <c:v>0.96585573787500001</c:v>
                </c:pt>
                <c:pt idx="95">
                  <c:v>0.96949326484499998</c:v>
                </c:pt>
                <c:pt idx="96">
                  <c:v>0.98826640620750006</c:v>
                </c:pt>
                <c:pt idx="97">
                  <c:v>0.99345069983250001</c:v>
                </c:pt>
                <c:pt idx="98">
                  <c:v>1.0040226260925</c:v>
                </c:pt>
                <c:pt idx="99">
                  <c:v>1.0161776845500001</c:v>
                </c:pt>
                <c:pt idx="100">
                  <c:v>1.0262080489500001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E0-4140-AD43-ED0C0F72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90384"/>
        <c:axId val="566340640"/>
      </c:scatterChart>
      <c:valAx>
        <c:axId val="57529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ε</a:t>
                </a:r>
                <a:r>
                  <a:rPr lang="en-US" i="1" baseline="-25000"/>
                  <a:t>xy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40640"/>
        <c:crosses val="autoZero"/>
        <c:crossBetween val="midCat"/>
      </c:valAx>
      <c:valAx>
        <c:axId val="5663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i="1"/>
                  <a:t>σ</a:t>
                </a:r>
                <a:r>
                  <a:rPr lang="en-US" i="1" baseline="-25000"/>
                  <a:t>xy  </a:t>
                </a:r>
                <a:r>
                  <a:rPr lang="en-US" baseline="0"/>
                  <a:t>[Pa 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0</xdr:rowOff>
    </xdr:from>
    <xdr:to>
      <xdr:col>29</xdr:col>
      <xdr:colOff>304800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290C0-4685-43BB-BEE8-8709F722E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23</xdr:row>
      <xdr:rowOff>0</xdr:rowOff>
    </xdr:from>
    <xdr:to>
      <xdr:col>29</xdr:col>
      <xdr:colOff>304800</xdr:colOff>
      <xdr:row>38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08EF0-3BD2-4A7A-A02C-BB1775E56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0</xdr:rowOff>
    </xdr:from>
    <xdr:to>
      <xdr:col>29</xdr:col>
      <xdr:colOff>304800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0DDDB-9D8A-4B77-A7F0-1C37E9692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F8CF-E341-470C-BF17-C3759BDF9D38}">
  <dimension ref="A1:U209"/>
  <sheetViews>
    <sheetView tabSelected="1" zoomScale="70" zoomScaleNormal="70" workbookViewId="0">
      <selection activeCell="C13" sqref="C13"/>
    </sheetView>
  </sheetViews>
  <sheetFormatPr defaultRowHeight="14.4" x14ac:dyDescent="0.3"/>
  <cols>
    <col min="1" max="1" width="8.88671875" style="2"/>
    <col min="2" max="3" width="9" style="2" bestFit="1" customWidth="1"/>
    <col min="4" max="4" width="12.77734375" style="2" bestFit="1" customWidth="1"/>
    <col min="5" max="9" width="9" style="2" bestFit="1" customWidth="1"/>
    <col min="10" max="10" width="13.33203125" style="2" bestFit="1" customWidth="1"/>
    <col min="11" max="16" width="9" style="2" bestFit="1" customWidth="1"/>
    <col min="17" max="17" width="8.88671875" style="2"/>
    <col min="18" max="21" width="9" style="2" bestFit="1" customWidth="1"/>
    <col min="22" max="16384" width="8.88671875" style="2"/>
  </cols>
  <sheetData>
    <row r="1" spans="1:21" x14ac:dyDescent="0.3">
      <c r="A1" s="2" t="s">
        <v>15</v>
      </c>
      <c r="B1" s="2">
        <v>101325</v>
      </c>
      <c r="C1" s="2" t="s">
        <v>16</v>
      </c>
    </row>
    <row r="2" spans="1:21" x14ac:dyDescent="0.3">
      <c r="A2" s="2" t="s">
        <v>10</v>
      </c>
      <c r="B2" s="2">
        <f>1*10^-10</f>
        <v>1E-10</v>
      </c>
      <c r="C2" s="2" t="s">
        <v>14</v>
      </c>
    </row>
    <row r="3" spans="1:21" x14ac:dyDescent="0.3">
      <c r="A3" s="2" t="s">
        <v>11</v>
      </c>
      <c r="B3" s="2">
        <f>B2*B1</f>
        <v>1.01325E-5</v>
      </c>
      <c r="C3" s="2" t="s">
        <v>17</v>
      </c>
    </row>
    <row r="4" spans="1:21" x14ac:dyDescent="0.3">
      <c r="A4" s="2" t="s">
        <v>25</v>
      </c>
      <c r="B4" s="2">
        <v>30</v>
      </c>
      <c r="N4" s="2">
        <f>N9/B4</f>
        <v>2.5146343999999998</v>
      </c>
      <c r="O4" s="2">
        <f>O9/B5/SQRT(3)</f>
        <v>2.5146339323883442</v>
      </c>
    </row>
    <row r="5" spans="1:21" x14ac:dyDescent="0.3">
      <c r="A5" s="2" t="s">
        <v>26</v>
      </c>
      <c r="B5" s="2">
        <v>15</v>
      </c>
    </row>
    <row r="8" spans="1:21" ht="15.6" x14ac:dyDescent="0.35">
      <c r="B8" s="2" t="s">
        <v>0</v>
      </c>
      <c r="C8" s="2" t="s">
        <v>18</v>
      </c>
      <c r="D8" s="2" t="s">
        <v>19</v>
      </c>
      <c r="E8" s="2" t="s">
        <v>20</v>
      </c>
      <c r="F8" s="2" t="s">
        <v>1</v>
      </c>
      <c r="G8" s="2" t="s">
        <v>2</v>
      </c>
      <c r="H8" s="2" t="s">
        <v>3</v>
      </c>
      <c r="I8" s="2" t="s">
        <v>4</v>
      </c>
      <c r="J8" s="2" t="s">
        <v>5</v>
      </c>
      <c r="K8" s="2" t="s">
        <v>6</v>
      </c>
      <c r="L8" s="2" t="s">
        <v>7</v>
      </c>
      <c r="M8" s="2" t="s">
        <v>12</v>
      </c>
      <c r="N8" s="2" t="s">
        <v>8</v>
      </c>
      <c r="O8" s="2" t="s">
        <v>9</v>
      </c>
      <c r="P8" s="2" t="s">
        <v>13</v>
      </c>
      <c r="R8" s="2" t="s">
        <v>22</v>
      </c>
      <c r="S8" s="2" t="s">
        <v>23</v>
      </c>
      <c r="T8" s="2" t="s">
        <v>24</v>
      </c>
      <c r="U8" s="2" t="s">
        <v>21</v>
      </c>
    </row>
    <row r="9" spans="1:21" x14ac:dyDescent="0.3">
      <c r="B9" s="2">
        <v>0</v>
      </c>
      <c r="C9" s="2">
        <v>5.6512606999999999E-16</v>
      </c>
      <c r="D9" s="2">
        <v>-6.5255150000000005E-16</v>
      </c>
      <c r="E9" s="2">
        <v>0</v>
      </c>
      <c r="F9" s="2">
        <v>4.9443020000000004</v>
      </c>
      <c r="G9" s="2">
        <v>1.5278910999999999</v>
      </c>
      <c r="H9" s="2">
        <v>0.48253463000000002</v>
      </c>
      <c r="I9" s="2">
        <v>0.27886113000000001</v>
      </c>
      <c r="J9" s="2">
        <v>5.9997117999999998E-14</v>
      </c>
      <c r="K9" s="2">
        <v>-185.10929999999999</v>
      </c>
      <c r="L9" s="2">
        <v>147.42221000000001</v>
      </c>
      <c r="M9" s="2">
        <v>-720.30812000000003</v>
      </c>
      <c r="N9" s="2">
        <v>75.439031999999997</v>
      </c>
      <c r="O9" s="2">
        <v>65.332105999999996</v>
      </c>
      <c r="P9" s="2">
        <v>0</v>
      </c>
      <c r="R9" s="2">
        <f>-K9*$B$3</f>
        <v>1.8756199822499999E-3</v>
      </c>
      <c r="S9" s="2">
        <f t="shared" ref="S9:S72" si="0">-L9*$B$3</f>
        <v>-1.493755542825E-3</v>
      </c>
      <c r="T9" s="2">
        <f t="shared" ref="T9:T72" si="1">-M9*$B$3</f>
        <v>7.2985220259E-3</v>
      </c>
    </row>
    <row r="10" spans="1:21" x14ac:dyDescent="0.3">
      <c r="B10" s="2">
        <v>500</v>
      </c>
      <c r="C10" s="2">
        <v>1E-4</v>
      </c>
      <c r="D10" s="2">
        <v>-6.5255150000000005E-16</v>
      </c>
      <c r="E10" s="2">
        <v>0</v>
      </c>
      <c r="F10" s="2">
        <v>5.0335492999999998</v>
      </c>
      <c r="G10" s="2">
        <v>1.5577097</v>
      </c>
      <c r="H10" s="2">
        <v>0.51660879999999998</v>
      </c>
      <c r="I10" s="2">
        <v>0.26076992999999998</v>
      </c>
      <c r="J10" s="2">
        <v>5.8953730999999995E-14</v>
      </c>
      <c r="K10" s="2">
        <v>-2777.6952000000001</v>
      </c>
      <c r="L10" s="2">
        <v>-719.93537000000003</v>
      </c>
      <c r="M10" s="2">
        <v>294.67757</v>
      </c>
      <c r="N10" s="2">
        <v>75.446575999999993</v>
      </c>
      <c r="O10" s="2">
        <v>65.332105999999996</v>
      </c>
      <c r="P10" s="2">
        <v>0</v>
      </c>
      <c r="R10" s="2">
        <f t="shared" ref="R10:R73" si="2">-K10*$B$3</f>
        <v>2.8144996614000002E-2</v>
      </c>
      <c r="S10" s="2">
        <f t="shared" si="0"/>
        <v>7.2947451365250006E-3</v>
      </c>
      <c r="T10" s="2">
        <f t="shared" si="1"/>
        <v>-2.9858204780249999E-3</v>
      </c>
      <c r="U10" s="2">
        <f t="shared" ref="U10:U73" si="3">-D10/C10</f>
        <v>6.5255149999999998E-12</v>
      </c>
    </row>
    <row r="11" spans="1:21" x14ac:dyDescent="0.3">
      <c r="B11" s="2">
        <v>1000</v>
      </c>
      <c r="C11" s="2">
        <v>2.0000000000000001E-4</v>
      </c>
      <c r="D11" s="2">
        <v>-6.5255150000000005E-16</v>
      </c>
      <c r="E11" s="2">
        <v>0</v>
      </c>
      <c r="F11" s="2">
        <v>4.8805271000000001</v>
      </c>
      <c r="G11" s="2">
        <v>1.5881703</v>
      </c>
      <c r="H11" s="2">
        <v>0.53998341000000005</v>
      </c>
      <c r="I11" s="2">
        <v>0.29157830000000001</v>
      </c>
      <c r="J11" s="2">
        <v>5.8975934999999998E-14</v>
      </c>
      <c r="K11" s="2">
        <v>-5447.0585000000001</v>
      </c>
      <c r="L11" s="2">
        <v>-1612.4565</v>
      </c>
      <c r="M11" s="2">
        <v>232.38794999999999</v>
      </c>
      <c r="N11" s="2">
        <v>75.454120000000003</v>
      </c>
      <c r="O11" s="2">
        <v>65.332105999999996</v>
      </c>
      <c r="P11" s="2">
        <v>0</v>
      </c>
      <c r="R11" s="2">
        <f t="shared" si="2"/>
        <v>5.5192320251250003E-2</v>
      </c>
      <c r="S11" s="2">
        <f t="shared" si="0"/>
        <v>1.6338215486249998E-2</v>
      </c>
      <c r="T11" s="2">
        <f t="shared" si="1"/>
        <v>-2.3546709033749999E-3</v>
      </c>
      <c r="U11" s="2">
        <f t="shared" si="3"/>
        <v>3.2627574999999999E-12</v>
      </c>
    </row>
    <row r="12" spans="1:21" x14ac:dyDescent="0.3">
      <c r="B12" s="2">
        <v>1500</v>
      </c>
      <c r="C12" s="2">
        <v>2.9999999999999997E-4</v>
      </c>
      <c r="D12" s="2">
        <v>-6.5255150000000005E-16</v>
      </c>
      <c r="E12" s="2">
        <v>0</v>
      </c>
      <c r="F12" s="2">
        <v>4.9163334000000001</v>
      </c>
      <c r="G12" s="2">
        <v>1.5777653</v>
      </c>
      <c r="H12" s="2">
        <v>0.53249515999999997</v>
      </c>
      <c r="I12" s="2">
        <v>0.28311068</v>
      </c>
      <c r="J12" s="2">
        <v>5.9433569E-14</v>
      </c>
      <c r="K12" s="2">
        <v>-8617.2731000000003</v>
      </c>
      <c r="L12" s="2">
        <v>-2002.4686999999999</v>
      </c>
      <c r="M12" s="2">
        <v>-622.86919999999998</v>
      </c>
      <c r="N12" s="2">
        <v>75.461663999999999</v>
      </c>
      <c r="O12" s="2">
        <v>65.332105999999996</v>
      </c>
      <c r="P12" s="2">
        <v>0</v>
      </c>
      <c r="R12" s="2">
        <f t="shared" si="2"/>
        <v>8.7314519685750006E-2</v>
      </c>
      <c r="S12" s="2">
        <f t="shared" si="0"/>
        <v>2.0290014102749998E-2</v>
      </c>
      <c r="T12" s="2">
        <f t="shared" si="1"/>
        <v>6.3112221689999998E-3</v>
      </c>
      <c r="U12" s="2">
        <f t="shared" si="3"/>
        <v>2.1751716666666671E-12</v>
      </c>
    </row>
    <row r="13" spans="1:21" x14ac:dyDescent="0.3">
      <c r="B13" s="2">
        <v>2000</v>
      </c>
      <c r="C13" s="2">
        <v>4.0000000000000002E-4</v>
      </c>
      <c r="D13" s="2">
        <v>-6.5255150000000005E-16</v>
      </c>
      <c r="E13" s="2">
        <v>0</v>
      </c>
      <c r="F13" s="2">
        <v>5.0997621000000004</v>
      </c>
      <c r="G13" s="2">
        <v>1.5463137</v>
      </c>
      <c r="H13" s="2">
        <v>0.47762590999999999</v>
      </c>
      <c r="I13" s="2">
        <v>0.27809208000000002</v>
      </c>
      <c r="J13" s="2">
        <v>6.0001559E-14</v>
      </c>
      <c r="K13" s="2">
        <v>-10860.468000000001</v>
      </c>
      <c r="L13" s="2">
        <v>-3409.0313999999998</v>
      </c>
      <c r="M13" s="2">
        <v>922.90686000000005</v>
      </c>
      <c r="N13" s="2">
        <v>75.469207999999995</v>
      </c>
      <c r="O13" s="2">
        <v>65.332105999999996</v>
      </c>
      <c r="P13" s="2">
        <v>0</v>
      </c>
      <c r="R13" s="2">
        <f t="shared" si="2"/>
        <v>0.11004369201000001</v>
      </c>
      <c r="S13" s="2">
        <f t="shared" si="0"/>
        <v>3.45420106605E-2</v>
      </c>
      <c r="T13" s="2">
        <f t="shared" si="1"/>
        <v>-9.3513537589499998E-3</v>
      </c>
      <c r="U13" s="2">
        <f t="shared" si="3"/>
        <v>1.6313787499999999E-12</v>
      </c>
    </row>
    <row r="14" spans="1:21" x14ac:dyDescent="0.3">
      <c r="B14" s="2">
        <v>2500</v>
      </c>
      <c r="C14" s="2">
        <v>5.0000000000000001E-4</v>
      </c>
      <c r="D14" s="2">
        <v>-6.5255150000000005E-16</v>
      </c>
      <c r="E14" s="2">
        <v>0</v>
      </c>
      <c r="F14" s="2">
        <v>5.1992004999999999</v>
      </c>
      <c r="G14" s="2">
        <v>1.5465418</v>
      </c>
      <c r="H14" s="2">
        <v>0.47117756</v>
      </c>
      <c r="I14" s="2">
        <v>0.26935298000000002</v>
      </c>
      <c r="J14" s="2">
        <v>6.0625949000000006E-14</v>
      </c>
      <c r="K14" s="2">
        <v>-14362.564</v>
      </c>
      <c r="L14" s="2">
        <v>-3457.3654999999999</v>
      </c>
      <c r="M14" s="2">
        <v>-1082.9919</v>
      </c>
      <c r="N14" s="2">
        <v>75.476752000000005</v>
      </c>
      <c r="O14" s="2">
        <v>65.332105999999996</v>
      </c>
      <c r="P14" s="2">
        <v>0</v>
      </c>
      <c r="R14" s="2">
        <f t="shared" si="2"/>
        <v>0.14552867973</v>
      </c>
      <c r="S14" s="2">
        <f t="shared" si="0"/>
        <v>3.5031755928749998E-2</v>
      </c>
      <c r="T14" s="2">
        <f t="shared" si="1"/>
        <v>1.097341542675E-2</v>
      </c>
      <c r="U14" s="2">
        <f t="shared" si="3"/>
        <v>1.3051030000000001E-12</v>
      </c>
    </row>
    <row r="15" spans="1:21" x14ac:dyDescent="0.3">
      <c r="B15" s="2">
        <v>3000</v>
      </c>
      <c r="C15" s="2">
        <v>5.9999999999999995E-4</v>
      </c>
      <c r="D15" s="2">
        <v>-6.5255150000000005E-16</v>
      </c>
      <c r="E15" s="2">
        <v>0</v>
      </c>
      <c r="F15" s="2">
        <v>5.0277272999999996</v>
      </c>
      <c r="G15" s="2">
        <v>1.5811314000000001</v>
      </c>
      <c r="H15" s="2">
        <v>0.52121779999999995</v>
      </c>
      <c r="I15" s="2">
        <v>0.28048515000000002</v>
      </c>
      <c r="J15" s="2">
        <v>5.9071636000000003E-14</v>
      </c>
      <c r="K15" s="2">
        <v>-16362.864</v>
      </c>
      <c r="L15" s="2">
        <v>-4942.9098000000004</v>
      </c>
      <c r="M15" s="2">
        <v>1139.9401</v>
      </c>
      <c r="N15" s="2">
        <v>75.484296000000001</v>
      </c>
      <c r="O15" s="2">
        <v>65.332105999999996</v>
      </c>
      <c r="P15" s="2">
        <v>0</v>
      </c>
      <c r="R15" s="2">
        <f t="shared" si="2"/>
        <v>0.16579671947999999</v>
      </c>
      <c r="S15" s="2">
        <f t="shared" si="0"/>
        <v>5.0084033548500002E-2</v>
      </c>
      <c r="T15" s="2">
        <f t="shared" si="1"/>
        <v>-1.155044306325E-2</v>
      </c>
      <c r="U15" s="2">
        <f t="shared" si="3"/>
        <v>1.0875858333333336E-12</v>
      </c>
    </row>
    <row r="16" spans="1:21" x14ac:dyDescent="0.3">
      <c r="B16" s="2">
        <v>3500</v>
      </c>
      <c r="C16" s="2">
        <v>6.9999999999999999E-4</v>
      </c>
      <c r="D16" s="2">
        <v>-6.5255150000000005E-16</v>
      </c>
      <c r="E16" s="2">
        <v>0</v>
      </c>
      <c r="F16" s="2">
        <v>5.0809943000000004</v>
      </c>
      <c r="G16" s="2">
        <v>1.5966902999999999</v>
      </c>
      <c r="H16" s="2">
        <v>0.53521777999999998</v>
      </c>
      <c r="I16" s="2">
        <v>0.27378628999999999</v>
      </c>
      <c r="J16" s="2">
        <v>5.7486459999999997E-14</v>
      </c>
      <c r="K16" s="2">
        <v>-19742.150000000001</v>
      </c>
      <c r="L16" s="2">
        <v>-5076.3311000000003</v>
      </c>
      <c r="M16" s="2">
        <v>-1070.2446</v>
      </c>
      <c r="N16" s="2">
        <v>75.491839999999996</v>
      </c>
      <c r="O16" s="2">
        <v>65.332105999999996</v>
      </c>
      <c r="P16" s="2">
        <v>0</v>
      </c>
      <c r="R16" s="2">
        <f t="shared" si="2"/>
        <v>0.20003733487500003</v>
      </c>
      <c r="S16" s="2">
        <f t="shared" si="0"/>
        <v>5.1435924870750001E-2</v>
      </c>
      <c r="T16" s="2">
        <f t="shared" si="1"/>
        <v>1.08442534095E-2</v>
      </c>
      <c r="U16" s="2">
        <f t="shared" si="3"/>
        <v>9.3221642857142863E-13</v>
      </c>
    </row>
    <row r="17" spans="2:21" x14ac:dyDescent="0.3">
      <c r="B17" s="2">
        <v>4000</v>
      </c>
      <c r="C17" s="2">
        <v>8.0000000000000004E-4</v>
      </c>
      <c r="D17" s="2">
        <v>-6.5255150000000005E-16</v>
      </c>
      <c r="E17" s="2">
        <v>0</v>
      </c>
      <c r="F17" s="2">
        <v>4.9677157000000003</v>
      </c>
      <c r="G17" s="2">
        <v>1.5891873999999999</v>
      </c>
      <c r="H17" s="2">
        <v>0.52240443999999997</v>
      </c>
      <c r="I17" s="2">
        <v>0.29665786999999999</v>
      </c>
      <c r="J17" s="2">
        <v>5.7799098999999995E-14</v>
      </c>
      <c r="K17" s="2">
        <v>-22169.182000000001</v>
      </c>
      <c r="L17" s="2">
        <v>-6264.2091</v>
      </c>
      <c r="M17" s="2">
        <v>910.52107999999998</v>
      </c>
      <c r="N17" s="2">
        <v>75.499384000000006</v>
      </c>
      <c r="O17" s="2">
        <v>65.332105999999996</v>
      </c>
      <c r="P17" s="2">
        <v>0</v>
      </c>
      <c r="R17" s="2">
        <f t="shared" si="2"/>
        <v>0.22462923661500001</v>
      </c>
      <c r="S17" s="2">
        <f t="shared" si="0"/>
        <v>6.3472098705750005E-2</v>
      </c>
      <c r="T17" s="2">
        <f t="shared" si="1"/>
        <v>-9.2258548430999999E-3</v>
      </c>
      <c r="U17" s="2">
        <f t="shared" si="3"/>
        <v>8.1568937499999997E-13</v>
      </c>
    </row>
    <row r="18" spans="2:21" x14ac:dyDescent="0.3">
      <c r="B18" s="2">
        <v>4500</v>
      </c>
      <c r="C18" s="2">
        <v>8.9999999999999998E-4</v>
      </c>
      <c r="D18" s="2">
        <v>-6.5255150000000005E-16</v>
      </c>
      <c r="E18" s="2">
        <v>0</v>
      </c>
      <c r="F18" s="2">
        <v>4.9791930999999998</v>
      </c>
      <c r="G18" s="2">
        <v>1.5654424</v>
      </c>
      <c r="H18" s="2">
        <v>0.50920193000000002</v>
      </c>
      <c r="I18" s="2">
        <v>0.28433606</v>
      </c>
      <c r="J18" s="2">
        <v>5.9406701999999997E-14</v>
      </c>
      <c r="K18" s="2">
        <v>-25094.007000000001</v>
      </c>
      <c r="L18" s="2">
        <v>-6912.2470000000003</v>
      </c>
      <c r="M18" s="2">
        <v>-768.70299</v>
      </c>
      <c r="N18" s="2">
        <v>75.506927000000005</v>
      </c>
      <c r="O18" s="2">
        <v>65.332105999999996</v>
      </c>
      <c r="P18" s="2">
        <v>0</v>
      </c>
      <c r="R18" s="2">
        <f t="shared" si="2"/>
        <v>0.2542650259275</v>
      </c>
      <c r="S18" s="2">
        <f t="shared" si="0"/>
        <v>7.0038342727500008E-2</v>
      </c>
      <c r="T18" s="2">
        <f t="shared" si="1"/>
        <v>7.7888830461750004E-3</v>
      </c>
      <c r="U18" s="2">
        <f t="shared" si="3"/>
        <v>7.2505722222222234E-13</v>
      </c>
    </row>
    <row r="19" spans="2:21" x14ac:dyDescent="0.3">
      <c r="B19" s="2">
        <v>5000</v>
      </c>
      <c r="C19" s="2">
        <v>1E-3</v>
      </c>
      <c r="D19" s="2">
        <v>-6.5255150000000005E-16</v>
      </c>
      <c r="E19" s="2">
        <v>0</v>
      </c>
      <c r="F19" s="2">
        <v>5.2176831000000004</v>
      </c>
      <c r="G19" s="2">
        <v>1.5614307999999999</v>
      </c>
      <c r="H19" s="2">
        <v>0.49282103999999999</v>
      </c>
      <c r="I19" s="2">
        <v>0.25973325000000003</v>
      </c>
      <c r="J19" s="2">
        <v>5.9171334000000001E-14</v>
      </c>
      <c r="K19" s="2">
        <v>-27979.776000000002</v>
      </c>
      <c r="L19" s="2">
        <v>-7562.8873999999996</v>
      </c>
      <c r="M19" s="2">
        <v>602.88628000000006</v>
      </c>
      <c r="N19" s="2">
        <v>75.514471</v>
      </c>
      <c r="O19" s="2">
        <v>65.332105999999996</v>
      </c>
      <c r="P19" s="2">
        <v>0</v>
      </c>
      <c r="R19" s="2">
        <f t="shared" si="2"/>
        <v>0.28350508031999999</v>
      </c>
      <c r="S19" s="2">
        <f t="shared" si="0"/>
        <v>7.6630956580499995E-2</v>
      </c>
      <c r="T19" s="2">
        <f t="shared" si="1"/>
        <v>-6.1087452321000003E-3</v>
      </c>
      <c r="U19" s="2">
        <f t="shared" si="3"/>
        <v>6.5255150000000004E-13</v>
      </c>
    </row>
    <row r="20" spans="2:21" x14ac:dyDescent="0.3">
      <c r="B20" s="2">
        <v>5500</v>
      </c>
      <c r="C20" s="2">
        <v>1.1000000000000001E-3</v>
      </c>
      <c r="D20" s="2">
        <v>-6.5255150000000005E-16</v>
      </c>
      <c r="E20" s="2">
        <v>0</v>
      </c>
      <c r="F20" s="2">
        <v>4.9277350000000002</v>
      </c>
      <c r="G20" s="2">
        <v>1.6150761</v>
      </c>
      <c r="H20" s="2">
        <v>0.56209633999999997</v>
      </c>
      <c r="I20" s="2">
        <v>0.28905271999999999</v>
      </c>
      <c r="J20" s="2">
        <v>5.9479753999999996E-14</v>
      </c>
      <c r="K20" s="2">
        <v>-30494.28</v>
      </c>
      <c r="L20" s="2">
        <v>-8525.1108999999997</v>
      </c>
      <c r="M20" s="2">
        <v>-497.74592999999999</v>
      </c>
      <c r="N20" s="2">
        <v>75.522014999999996</v>
      </c>
      <c r="O20" s="2">
        <v>65.332105999999996</v>
      </c>
      <c r="P20" s="2">
        <v>0</v>
      </c>
      <c r="R20" s="2">
        <f t="shared" si="2"/>
        <v>0.30898329209999997</v>
      </c>
      <c r="S20" s="2">
        <f t="shared" si="0"/>
        <v>8.6380686194250003E-2</v>
      </c>
      <c r="T20" s="2">
        <f t="shared" si="1"/>
        <v>5.0434106357249995E-3</v>
      </c>
      <c r="U20" s="2">
        <f t="shared" si="3"/>
        <v>5.9322863636363641E-13</v>
      </c>
    </row>
    <row r="21" spans="2:21" x14ac:dyDescent="0.3">
      <c r="B21" s="2">
        <v>6000</v>
      </c>
      <c r="C21" s="2">
        <v>1.1999999999999999E-3</v>
      </c>
      <c r="D21" s="2">
        <v>-6.5255150000000005E-16</v>
      </c>
      <c r="E21" s="2">
        <v>0</v>
      </c>
      <c r="F21" s="2">
        <v>5.3552786000000001</v>
      </c>
      <c r="G21" s="2">
        <v>1.6467252999999999</v>
      </c>
      <c r="H21" s="2">
        <v>0.5351477</v>
      </c>
      <c r="I21" s="2">
        <v>0.28137018000000003</v>
      </c>
      <c r="J21" s="2">
        <v>5.8032911999999999E-14</v>
      </c>
      <c r="K21" s="2">
        <v>-33588.273000000001</v>
      </c>
      <c r="L21" s="2">
        <v>-8978.4351000000006</v>
      </c>
      <c r="M21" s="2">
        <v>299.24338999999998</v>
      </c>
      <c r="N21" s="2">
        <v>75.529559000000006</v>
      </c>
      <c r="O21" s="2">
        <v>65.332105999999996</v>
      </c>
      <c r="P21" s="2">
        <v>0</v>
      </c>
      <c r="R21" s="2">
        <f t="shared" si="2"/>
        <v>0.34033317617250003</v>
      </c>
      <c r="S21" s="2">
        <f t="shared" si="0"/>
        <v>9.0973993650750012E-2</v>
      </c>
      <c r="T21" s="2">
        <f t="shared" si="1"/>
        <v>-3.0320836491749999E-3</v>
      </c>
      <c r="U21" s="2">
        <f t="shared" si="3"/>
        <v>5.4379291666666678E-13</v>
      </c>
    </row>
    <row r="22" spans="2:21" x14ac:dyDescent="0.3">
      <c r="B22" s="2">
        <v>6500</v>
      </c>
      <c r="C22" s="2">
        <v>1.2999999999999999E-3</v>
      </c>
      <c r="D22" s="2">
        <v>-6.5255150000000005E-16</v>
      </c>
      <c r="E22" s="2">
        <v>0</v>
      </c>
      <c r="F22" s="2">
        <v>5.1099588000000002</v>
      </c>
      <c r="G22" s="2">
        <v>1.6724730000000001</v>
      </c>
      <c r="H22" s="2">
        <v>0.58056989000000003</v>
      </c>
      <c r="I22" s="2">
        <v>0.29972662</v>
      </c>
      <c r="J22" s="2">
        <v>5.8645532999999998E-14</v>
      </c>
      <c r="K22" s="2">
        <v>-35907.733</v>
      </c>
      <c r="L22" s="2">
        <v>-10164.236999999999</v>
      </c>
      <c r="M22" s="2">
        <v>-62.782359999999997</v>
      </c>
      <c r="N22" s="2">
        <v>75.537103000000002</v>
      </c>
      <c r="O22" s="2">
        <v>65.332105999999996</v>
      </c>
      <c r="P22" s="2">
        <v>0</v>
      </c>
      <c r="R22" s="2">
        <f t="shared" si="2"/>
        <v>0.36383510462250002</v>
      </c>
      <c r="S22" s="2">
        <f t="shared" si="0"/>
        <v>0.10298913140249999</v>
      </c>
      <c r="T22" s="2">
        <f t="shared" si="1"/>
        <v>6.3614226270000001E-4</v>
      </c>
      <c r="U22" s="2">
        <f t="shared" si="3"/>
        <v>5.0196269230769242E-13</v>
      </c>
    </row>
    <row r="23" spans="2:21" x14ac:dyDescent="0.3">
      <c r="B23" s="2">
        <v>7000</v>
      </c>
      <c r="C23" s="2">
        <v>1.4E-3</v>
      </c>
      <c r="D23" s="2">
        <v>-6.5255150000000005E-16</v>
      </c>
      <c r="E23" s="2">
        <v>0</v>
      </c>
      <c r="F23" s="2">
        <v>5.0990982000000002</v>
      </c>
      <c r="G23" s="2">
        <v>1.6972729</v>
      </c>
      <c r="H23" s="2">
        <v>0.57909363999999997</v>
      </c>
      <c r="I23" s="2">
        <v>0.32768642999999997</v>
      </c>
      <c r="J23" s="2">
        <v>5.8972160000000003E-14</v>
      </c>
      <c r="K23" s="2">
        <v>-39332.239000000001</v>
      </c>
      <c r="L23" s="2">
        <v>-10324.837</v>
      </c>
      <c r="M23" s="2">
        <v>30.357835000000001</v>
      </c>
      <c r="N23" s="2">
        <v>75.544646999999998</v>
      </c>
      <c r="O23" s="2">
        <v>65.332105999999996</v>
      </c>
      <c r="P23" s="2">
        <v>0</v>
      </c>
      <c r="R23" s="2">
        <f t="shared" si="2"/>
        <v>0.39853391166750002</v>
      </c>
      <c r="S23" s="2">
        <f t="shared" si="0"/>
        <v>0.1046164109025</v>
      </c>
      <c r="T23" s="2">
        <f t="shared" si="1"/>
        <v>-3.0760076313750002E-4</v>
      </c>
      <c r="U23" s="2">
        <f t="shared" si="3"/>
        <v>4.6610821428571431E-13</v>
      </c>
    </row>
    <row r="24" spans="2:21" x14ac:dyDescent="0.3">
      <c r="B24" s="2">
        <v>7500</v>
      </c>
      <c r="C24" s="2">
        <v>1.5E-3</v>
      </c>
      <c r="D24" s="2">
        <v>-6.5255150000000005E-16</v>
      </c>
      <c r="E24" s="2">
        <v>0</v>
      </c>
      <c r="F24" s="2">
        <v>4.7305427</v>
      </c>
      <c r="G24" s="2">
        <v>1.6426293999999999</v>
      </c>
      <c r="H24" s="2">
        <v>0.59103722000000003</v>
      </c>
      <c r="I24" s="2">
        <v>0.31823502999999997</v>
      </c>
      <c r="J24" s="2">
        <v>5.9325877999999996E-14</v>
      </c>
      <c r="K24" s="2">
        <v>-41373.186999999998</v>
      </c>
      <c r="L24" s="2">
        <v>-11836.504000000001</v>
      </c>
      <c r="M24" s="2">
        <v>-24.771336000000002</v>
      </c>
      <c r="N24" s="2">
        <v>75.552190999999993</v>
      </c>
      <c r="O24" s="2">
        <v>65.332105999999996</v>
      </c>
      <c r="P24" s="2">
        <v>0</v>
      </c>
      <c r="R24" s="2">
        <f t="shared" si="2"/>
        <v>0.41921381727749996</v>
      </c>
      <c r="S24" s="2">
        <f t="shared" si="0"/>
        <v>0.11993337678</v>
      </c>
      <c r="T24" s="2">
        <f t="shared" si="1"/>
        <v>2.5099556201999999E-4</v>
      </c>
      <c r="U24" s="2">
        <f t="shared" si="3"/>
        <v>4.3503433333333338E-13</v>
      </c>
    </row>
    <row r="25" spans="2:21" x14ac:dyDescent="0.3">
      <c r="B25" s="2">
        <v>8000</v>
      </c>
      <c r="C25" s="2">
        <v>1.6000000000000001E-3</v>
      </c>
      <c r="D25" s="2">
        <v>-6.5255150000000005E-16</v>
      </c>
      <c r="E25" s="2">
        <v>0</v>
      </c>
      <c r="F25" s="2">
        <v>4.8972430999999998</v>
      </c>
      <c r="G25" s="2">
        <v>1.6718128999999999</v>
      </c>
      <c r="H25" s="2">
        <v>0.59635903999999995</v>
      </c>
      <c r="I25" s="2">
        <v>0.31625381000000002</v>
      </c>
      <c r="J25" s="2">
        <v>6.0617510999999998E-14</v>
      </c>
      <c r="K25" s="2">
        <v>-44895.576000000001</v>
      </c>
      <c r="L25" s="2">
        <v>-11838.49</v>
      </c>
      <c r="M25" s="2">
        <v>2.8125393000000001</v>
      </c>
      <c r="N25" s="2">
        <v>75.559735000000003</v>
      </c>
      <c r="O25" s="2">
        <v>65.332105999999996</v>
      </c>
      <c r="P25" s="2">
        <v>0</v>
      </c>
      <c r="R25" s="2">
        <f t="shared" si="2"/>
        <v>0.45490442382000001</v>
      </c>
      <c r="S25" s="2">
        <f t="shared" si="0"/>
        <v>0.119953499925</v>
      </c>
      <c r="T25" s="2">
        <f t="shared" si="1"/>
        <v>-2.8498054457249999E-5</v>
      </c>
      <c r="U25" s="2">
        <f t="shared" si="3"/>
        <v>4.0784468749999999E-13</v>
      </c>
    </row>
    <row r="26" spans="2:21" x14ac:dyDescent="0.3">
      <c r="B26" s="2">
        <v>8500</v>
      </c>
      <c r="C26" s="2">
        <v>1.6999999999999999E-3</v>
      </c>
      <c r="D26" s="2">
        <v>-6.5255150000000005E-16</v>
      </c>
      <c r="E26" s="2">
        <v>0</v>
      </c>
      <c r="F26" s="2">
        <v>4.9111821999999998</v>
      </c>
      <c r="G26" s="2">
        <v>1.7103717000000001</v>
      </c>
      <c r="H26" s="2">
        <v>0.60552786999999997</v>
      </c>
      <c r="I26" s="2">
        <v>0.34348289999999998</v>
      </c>
      <c r="J26" s="2">
        <v>5.8214100000000005E-14</v>
      </c>
      <c r="K26" s="2">
        <v>-47004.116000000002</v>
      </c>
      <c r="L26" s="2">
        <v>-13290.486000000001</v>
      </c>
      <c r="M26" s="2">
        <v>20.435994000000001</v>
      </c>
      <c r="N26" s="2">
        <v>75.567278999999999</v>
      </c>
      <c r="O26" s="2">
        <v>65.332105999999996</v>
      </c>
      <c r="P26" s="2">
        <v>0</v>
      </c>
      <c r="R26" s="2">
        <f t="shared" si="2"/>
        <v>0.47626920537</v>
      </c>
      <c r="S26" s="2">
        <f t="shared" si="0"/>
        <v>0.13466584939500001</v>
      </c>
      <c r="T26" s="2">
        <f t="shared" si="1"/>
        <v>-2.07067709205E-4</v>
      </c>
      <c r="U26" s="2">
        <f t="shared" si="3"/>
        <v>3.8385382352941182E-13</v>
      </c>
    </row>
    <row r="27" spans="2:21" x14ac:dyDescent="0.3">
      <c r="B27" s="2">
        <v>9000</v>
      </c>
      <c r="C27" s="2">
        <v>1.8E-3</v>
      </c>
      <c r="D27" s="2">
        <v>-6.5255150000000005E-16</v>
      </c>
      <c r="E27" s="2">
        <v>0</v>
      </c>
      <c r="F27" s="2">
        <v>5.1196912000000001</v>
      </c>
      <c r="G27" s="2">
        <v>1.7305699000000001</v>
      </c>
      <c r="H27" s="2">
        <v>0.62285637000000005</v>
      </c>
      <c r="I27" s="2">
        <v>0.31402826</v>
      </c>
      <c r="J27" s="2">
        <v>6.1039840000000001E-14</v>
      </c>
      <c r="K27" s="2">
        <v>-50419.811999999998</v>
      </c>
      <c r="L27" s="2">
        <v>-13333.499</v>
      </c>
      <c r="M27" s="2">
        <v>48.117615000000001</v>
      </c>
      <c r="N27" s="2">
        <v>75.574822999999995</v>
      </c>
      <c r="O27" s="2">
        <v>65.332105999999996</v>
      </c>
      <c r="P27" s="2">
        <v>0</v>
      </c>
      <c r="R27" s="2">
        <f t="shared" si="2"/>
        <v>0.51087874508999997</v>
      </c>
      <c r="S27" s="2">
        <f t="shared" si="0"/>
        <v>0.1351016786175</v>
      </c>
      <c r="T27" s="2">
        <f t="shared" si="1"/>
        <v>-4.8755173398750003E-4</v>
      </c>
      <c r="U27" s="2">
        <f t="shared" si="3"/>
        <v>3.6252861111111117E-13</v>
      </c>
    </row>
    <row r="28" spans="2:21" x14ac:dyDescent="0.3">
      <c r="B28" s="2">
        <v>9500</v>
      </c>
      <c r="C28" s="2">
        <v>1.9E-3</v>
      </c>
      <c r="D28" s="2">
        <v>-6.5255150000000005E-16</v>
      </c>
      <c r="E28" s="2">
        <v>0</v>
      </c>
      <c r="F28" s="2">
        <v>4.9847364000000001</v>
      </c>
      <c r="G28" s="2">
        <v>1.7254179999999999</v>
      </c>
      <c r="H28" s="2">
        <v>0.61575444000000001</v>
      </c>
      <c r="I28" s="2">
        <v>0.33689977999999998</v>
      </c>
      <c r="J28" s="2">
        <v>5.8633319999999994E-14</v>
      </c>
      <c r="K28" s="2">
        <v>-52541.949000000001</v>
      </c>
      <c r="L28" s="2">
        <v>-14807.366</v>
      </c>
      <c r="M28" s="2">
        <v>-124.73214</v>
      </c>
      <c r="N28" s="2">
        <v>75.582367000000005</v>
      </c>
      <c r="O28" s="2">
        <v>65.332105999999996</v>
      </c>
      <c r="P28" s="2">
        <v>0</v>
      </c>
      <c r="R28" s="2">
        <f t="shared" si="2"/>
        <v>0.53238129824250002</v>
      </c>
      <c r="S28" s="2">
        <f t="shared" si="0"/>
        <v>0.150035635995</v>
      </c>
      <c r="T28" s="2">
        <f t="shared" si="1"/>
        <v>1.26384840855E-3</v>
      </c>
      <c r="U28" s="2">
        <f t="shared" si="3"/>
        <v>3.4344815789473688E-13</v>
      </c>
    </row>
    <row r="29" spans="2:21" x14ac:dyDescent="0.3">
      <c r="B29" s="2">
        <v>10000</v>
      </c>
      <c r="C29" s="2">
        <v>2E-3</v>
      </c>
      <c r="D29" s="2">
        <v>-6.5255150000000005E-16</v>
      </c>
      <c r="E29" s="2">
        <v>0</v>
      </c>
      <c r="F29" s="2">
        <v>5.1471777000000003</v>
      </c>
      <c r="G29" s="2">
        <v>1.7353974999999999</v>
      </c>
      <c r="H29" s="2">
        <v>0.61763120999999999</v>
      </c>
      <c r="I29" s="2">
        <v>0.31981995000000002</v>
      </c>
      <c r="J29" s="2">
        <v>5.8236527E-14</v>
      </c>
      <c r="K29" s="2">
        <v>-56035.275999999998</v>
      </c>
      <c r="L29" s="2">
        <v>-14826.921</v>
      </c>
      <c r="M29" s="2">
        <v>201.67704000000001</v>
      </c>
      <c r="N29" s="2">
        <v>75.589910000000003</v>
      </c>
      <c r="O29" s="2">
        <v>65.332105999999996</v>
      </c>
      <c r="P29" s="2">
        <v>0</v>
      </c>
      <c r="R29" s="2">
        <f t="shared" si="2"/>
        <v>0.56777743407000003</v>
      </c>
      <c r="S29" s="2">
        <f t="shared" si="0"/>
        <v>0.15023377703250002</v>
      </c>
      <c r="T29" s="2">
        <f t="shared" si="1"/>
        <v>-2.0434926078000001E-3</v>
      </c>
      <c r="U29" s="2">
        <f t="shared" si="3"/>
        <v>3.2627575000000002E-13</v>
      </c>
    </row>
    <row r="30" spans="2:21" x14ac:dyDescent="0.3">
      <c r="B30" s="2">
        <v>10500</v>
      </c>
      <c r="C30" s="2">
        <v>2.0999999999999999E-3</v>
      </c>
      <c r="D30" s="2">
        <v>-6.5255150000000005E-16</v>
      </c>
      <c r="E30" s="2">
        <v>0</v>
      </c>
      <c r="F30" s="2">
        <v>5.0893994999999999</v>
      </c>
      <c r="G30" s="2">
        <v>1.7729698</v>
      </c>
      <c r="H30" s="2">
        <v>0.64354712999999997</v>
      </c>
      <c r="I30" s="2">
        <v>0.34043343999999998</v>
      </c>
      <c r="J30" s="2">
        <v>5.9032112999999994E-14</v>
      </c>
      <c r="K30" s="2">
        <v>-57990.440999999999</v>
      </c>
      <c r="L30" s="2">
        <v>-16392.111000000001</v>
      </c>
      <c r="M30" s="2">
        <v>-390.61980999999997</v>
      </c>
      <c r="N30" s="2">
        <v>75.597453999999999</v>
      </c>
      <c r="O30" s="2">
        <v>65.332105999999996</v>
      </c>
      <c r="P30" s="2">
        <v>0</v>
      </c>
      <c r="R30" s="2">
        <f t="shared" si="2"/>
        <v>0.58758814343249999</v>
      </c>
      <c r="S30" s="2">
        <f t="shared" si="0"/>
        <v>0.16609306470750002</v>
      </c>
      <c r="T30" s="2">
        <f t="shared" si="1"/>
        <v>3.9579552248249997E-3</v>
      </c>
      <c r="U30" s="2">
        <f t="shared" si="3"/>
        <v>3.1073880952380958E-13</v>
      </c>
    </row>
    <row r="31" spans="2:21" x14ac:dyDescent="0.3">
      <c r="B31" s="2">
        <v>11000</v>
      </c>
      <c r="C31" s="2">
        <v>2.2000000000000001E-3</v>
      </c>
      <c r="D31" s="2">
        <v>-6.5255150000000005E-16</v>
      </c>
      <c r="E31" s="2">
        <v>0</v>
      </c>
      <c r="F31" s="2">
        <v>5.2041694999999999</v>
      </c>
      <c r="G31" s="2">
        <v>1.804548</v>
      </c>
      <c r="H31" s="2">
        <v>0.66871124000000004</v>
      </c>
      <c r="I31" s="2">
        <v>0.32905520999999999</v>
      </c>
      <c r="J31" s="2">
        <v>6.1359139999999994E-14</v>
      </c>
      <c r="K31" s="2">
        <v>-61538.83</v>
      </c>
      <c r="L31" s="2">
        <v>-16311.174999999999</v>
      </c>
      <c r="M31" s="2">
        <v>570.27760999999998</v>
      </c>
      <c r="N31" s="2">
        <v>75.604997999999995</v>
      </c>
      <c r="O31" s="2">
        <v>65.332105999999996</v>
      </c>
      <c r="P31" s="2">
        <v>0</v>
      </c>
      <c r="R31" s="2">
        <f t="shared" si="2"/>
        <v>0.62354219497499996</v>
      </c>
      <c r="S31" s="2">
        <f t="shared" si="0"/>
        <v>0.16527298068749999</v>
      </c>
      <c r="T31" s="2">
        <f t="shared" si="1"/>
        <v>-5.7783378833249997E-3</v>
      </c>
      <c r="U31" s="2">
        <f t="shared" si="3"/>
        <v>2.966143181818182E-13</v>
      </c>
    </row>
    <row r="32" spans="2:21" x14ac:dyDescent="0.3">
      <c r="B32" s="2">
        <v>11500</v>
      </c>
      <c r="C32" s="2">
        <v>2.3E-3</v>
      </c>
      <c r="D32" s="2">
        <v>-6.5255150000000005E-16</v>
      </c>
      <c r="E32" s="2">
        <v>0</v>
      </c>
      <c r="F32" s="2">
        <v>5.3354211999999999</v>
      </c>
      <c r="G32" s="2">
        <v>1.8414273000000001</v>
      </c>
      <c r="H32" s="2">
        <v>0.66663744999999996</v>
      </c>
      <c r="I32" s="2">
        <v>0.34766086000000002</v>
      </c>
      <c r="J32" s="2">
        <v>5.9795058000000001E-14</v>
      </c>
      <c r="K32" s="2">
        <v>-63506.627999999997</v>
      </c>
      <c r="L32" s="2">
        <v>-17899.498</v>
      </c>
      <c r="M32" s="2">
        <v>-687.66638999999998</v>
      </c>
      <c r="N32" s="2">
        <v>75.612542000000005</v>
      </c>
      <c r="O32" s="2">
        <v>65.332105999999996</v>
      </c>
      <c r="P32" s="2">
        <v>0</v>
      </c>
      <c r="R32" s="2">
        <f t="shared" si="2"/>
        <v>0.64348090820999992</v>
      </c>
      <c r="S32" s="2">
        <f t="shared" si="0"/>
        <v>0.181366663485</v>
      </c>
      <c r="T32" s="2">
        <f t="shared" si="1"/>
        <v>6.9677796966750001E-3</v>
      </c>
      <c r="U32" s="2">
        <f t="shared" si="3"/>
        <v>2.8371804347826088E-13</v>
      </c>
    </row>
    <row r="33" spans="2:21" x14ac:dyDescent="0.3">
      <c r="B33" s="2">
        <v>12000</v>
      </c>
      <c r="C33" s="2">
        <v>2.3999999999999998E-3</v>
      </c>
      <c r="D33" s="2">
        <v>-6.5255150000000005E-16</v>
      </c>
      <c r="E33" s="2">
        <v>0</v>
      </c>
      <c r="F33" s="2">
        <v>5.1046088999999997</v>
      </c>
      <c r="G33" s="2">
        <v>1.8195806000000001</v>
      </c>
      <c r="H33" s="2">
        <v>0.68471088999999996</v>
      </c>
      <c r="I33" s="2">
        <v>0.34352260000000001</v>
      </c>
      <c r="J33" s="2">
        <v>5.9290572000000003E-14</v>
      </c>
      <c r="K33" s="2">
        <v>-67109.225999999995</v>
      </c>
      <c r="L33" s="2">
        <v>-17825.251</v>
      </c>
      <c r="M33" s="2">
        <v>877.21302000000003</v>
      </c>
      <c r="N33" s="2">
        <v>75.620086000000001</v>
      </c>
      <c r="O33" s="2">
        <v>65.332105999999996</v>
      </c>
      <c r="P33" s="2">
        <v>0</v>
      </c>
      <c r="R33" s="2">
        <f t="shared" si="2"/>
        <v>0.67998423244499995</v>
      </c>
      <c r="S33" s="2">
        <f t="shared" si="0"/>
        <v>0.18061435575750001</v>
      </c>
      <c r="T33" s="2">
        <f t="shared" si="1"/>
        <v>-8.8883609251499997E-3</v>
      </c>
      <c r="U33" s="2">
        <f t="shared" si="3"/>
        <v>2.7189645833333339E-13</v>
      </c>
    </row>
    <row r="34" spans="2:21" x14ac:dyDescent="0.3">
      <c r="B34" s="2">
        <v>12500</v>
      </c>
      <c r="C34" s="2">
        <v>2.5000000000000001E-3</v>
      </c>
      <c r="D34" s="2">
        <v>-6.5255150000000005E-16</v>
      </c>
      <c r="E34" s="2">
        <v>0</v>
      </c>
      <c r="F34" s="2">
        <v>5.1129528000000004</v>
      </c>
      <c r="G34" s="2">
        <v>1.8242670000000001</v>
      </c>
      <c r="H34" s="2">
        <v>0.67737314999999998</v>
      </c>
      <c r="I34" s="2">
        <v>0.35425320999999999</v>
      </c>
      <c r="J34" s="2">
        <v>5.9567684000000006E-14</v>
      </c>
      <c r="K34" s="2">
        <v>-69131.324999999997</v>
      </c>
      <c r="L34" s="2">
        <v>-19366.746999999999</v>
      </c>
      <c r="M34" s="2">
        <v>-1004.4466</v>
      </c>
      <c r="N34" s="2">
        <v>75.627629999999996</v>
      </c>
      <c r="O34" s="2">
        <v>65.332105999999996</v>
      </c>
      <c r="P34" s="2">
        <v>0</v>
      </c>
      <c r="R34" s="2">
        <f t="shared" si="2"/>
        <v>0.70047315056249992</v>
      </c>
      <c r="S34" s="2">
        <f t="shared" si="0"/>
        <v>0.1962335639775</v>
      </c>
      <c r="T34" s="2">
        <f t="shared" si="1"/>
        <v>1.0177555174499999E-2</v>
      </c>
      <c r="U34" s="2">
        <f t="shared" si="3"/>
        <v>2.6102060000000003E-13</v>
      </c>
    </row>
    <row r="35" spans="2:21" x14ac:dyDescent="0.3">
      <c r="B35" s="2">
        <v>13000</v>
      </c>
      <c r="C35" s="2">
        <v>2.5999999999999999E-3</v>
      </c>
      <c r="D35" s="2">
        <v>-6.5255150000000005E-16</v>
      </c>
      <c r="E35" s="2">
        <v>0</v>
      </c>
      <c r="F35" s="2">
        <v>5.0514261999999999</v>
      </c>
      <c r="G35" s="2">
        <v>1.8778448999999999</v>
      </c>
      <c r="H35" s="2">
        <v>0.74190453000000001</v>
      </c>
      <c r="I35" s="2">
        <v>0.35283800999999998</v>
      </c>
      <c r="J35" s="2">
        <v>5.9728666000000002E-14</v>
      </c>
      <c r="K35" s="2">
        <v>-72661.955000000002</v>
      </c>
      <c r="L35" s="2">
        <v>-19253.917000000001</v>
      </c>
      <c r="M35" s="2">
        <v>1132.903</v>
      </c>
      <c r="N35" s="2">
        <v>75.635174000000006</v>
      </c>
      <c r="O35" s="2">
        <v>65.332105999999996</v>
      </c>
      <c r="P35" s="2">
        <v>0</v>
      </c>
      <c r="R35" s="2">
        <f t="shared" si="2"/>
        <v>0.73624725903749999</v>
      </c>
      <c r="S35" s="2">
        <f t="shared" si="0"/>
        <v>0.19509031400250001</v>
      </c>
      <c r="T35" s="2">
        <f t="shared" si="1"/>
        <v>-1.1479139647500001E-2</v>
      </c>
      <c r="U35" s="2">
        <f t="shared" si="3"/>
        <v>2.5098134615384621E-13</v>
      </c>
    </row>
    <row r="36" spans="2:21" x14ac:dyDescent="0.3">
      <c r="B36" s="2">
        <v>13500</v>
      </c>
      <c r="C36" s="2">
        <v>2.7000000000000001E-3</v>
      </c>
      <c r="D36" s="2">
        <v>-6.5255150000000005E-16</v>
      </c>
      <c r="E36" s="2">
        <v>0</v>
      </c>
      <c r="F36" s="2">
        <v>4.9842339999999998</v>
      </c>
      <c r="G36" s="2">
        <v>1.891783</v>
      </c>
      <c r="H36" s="2">
        <v>0.76650649000000004</v>
      </c>
      <c r="I36" s="2">
        <v>0.35259062000000002</v>
      </c>
      <c r="J36" s="2">
        <v>5.9059424000000006E-14</v>
      </c>
      <c r="K36" s="2">
        <v>-74666.285999999993</v>
      </c>
      <c r="L36" s="2">
        <v>-20746.141</v>
      </c>
      <c r="M36" s="2">
        <v>-1097.8489</v>
      </c>
      <c r="N36" s="2">
        <v>75.642718000000002</v>
      </c>
      <c r="O36" s="2">
        <v>65.332105999999996</v>
      </c>
      <c r="P36" s="2">
        <v>0</v>
      </c>
      <c r="R36" s="2">
        <f t="shared" si="2"/>
        <v>0.75655614289499995</v>
      </c>
      <c r="S36" s="2">
        <f t="shared" si="0"/>
        <v>0.2102102736825</v>
      </c>
      <c r="T36" s="2">
        <f t="shared" si="1"/>
        <v>1.1123953979249999E-2</v>
      </c>
      <c r="U36" s="2">
        <f t="shared" si="3"/>
        <v>2.4168574074074073E-13</v>
      </c>
    </row>
    <row r="37" spans="2:21" x14ac:dyDescent="0.3">
      <c r="B37" s="2">
        <v>14000</v>
      </c>
      <c r="C37" s="2">
        <v>2.8E-3</v>
      </c>
      <c r="D37" s="2">
        <v>-6.5255150000000005E-16</v>
      </c>
      <c r="E37" s="2">
        <v>0</v>
      </c>
      <c r="F37" s="2">
        <v>4.9542446</v>
      </c>
      <c r="G37" s="2">
        <v>1.8988404999999999</v>
      </c>
      <c r="H37" s="2">
        <v>0.78162982000000003</v>
      </c>
      <c r="I37" s="2">
        <v>0.34917394000000002</v>
      </c>
      <c r="J37" s="2">
        <v>5.9773075000000002E-14</v>
      </c>
      <c r="K37" s="2">
        <v>-78030.892000000007</v>
      </c>
      <c r="L37" s="2">
        <v>-20892.327000000001</v>
      </c>
      <c r="M37" s="2">
        <v>1040.7838999999999</v>
      </c>
      <c r="N37" s="2">
        <v>75.650261999999998</v>
      </c>
      <c r="O37" s="2">
        <v>65.332105999999996</v>
      </c>
      <c r="P37" s="2">
        <v>0</v>
      </c>
      <c r="R37" s="2">
        <f t="shared" si="2"/>
        <v>0.79064801319000011</v>
      </c>
      <c r="S37" s="2">
        <f t="shared" si="0"/>
        <v>0.2116915033275</v>
      </c>
      <c r="T37" s="2">
        <f t="shared" si="1"/>
        <v>-1.0545742866749998E-2</v>
      </c>
      <c r="U37" s="2">
        <f t="shared" si="3"/>
        <v>2.3305410714285716E-13</v>
      </c>
    </row>
    <row r="38" spans="2:21" x14ac:dyDescent="0.3">
      <c r="B38" s="2">
        <v>14500</v>
      </c>
      <c r="C38" s="2">
        <v>2.8999999999999998E-3</v>
      </c>
      <c r="D38" s="2">
        <v>-6.5255150000000005E-16</v>
      </c>
      <c r="E38" s="2">
        <v>0</v>
      </c>
      <c r="F38" s="2">
        <v>4.7518342000000002</v>
      </c>
      <c r="G38" s="2">
        <v>1.8912392</v>
      </c>
      <c r="H38" s="2">
        <v>0.76305168999999995</v>
      </c>
      <c r="I38" s="2">
        <v>0.39152963000000002</v>
      </c>
      <c r="J38" s="2">
        <v>5.7563954000000004E-14</v>
      </c>
      <c r="K38" s="2">
        <v>-80324.426000000007</v>
      </c>
      <c r="L38" s="2">
        <v>-22241.397000000001</v>
      </c>
      <c r="M38" s="2">
        <v>-714.06425000000002</v>
      </c>
      <c r="N38" s="2">
        <v>75.657805999999994</v>
      </c>
      <c r="O38" s="2">
        <v>65.332105999999996</v>
      </c>
      <c r="P38" s="2">
        <v>0</v>
      </c>
      <c r="R38" s="2">
        <f t="shared" si="2"/>
        <v>0.8138872464450001</v>
      </c>
      <c r="S38" s="2">
        <f t="shared" si="0"/>
        <v>0.22536095510250001</v>
      </c>
      <c r="T38" s="2">
        <f t="shared" si="1"/>
        <v>7.235256013125E-3</v>
      </c>
      <c r="U38" s="2">
        <f t="shared" si="3"/>
        <v>2.2501775862068969E-13</v>
      </c>
    </row>
    <row r="39" spans="2:21" x14ac:dyDescent="0.3">
      <c r="B39" s="2">
        <v>15000</v>
      </c>
      <c r="C39" s="2">
        <v>3.0000000000000001E-3</v>
      </c>
      <c r="D39" s="2">
        <v>-6.5255150000000005E-16</v>
      </c>
      <c r="E39" s="2">
        <v>0</v>
      </c>
      <c r="F39" s="2">
        <v>4.9099738999999998</v>
      </c>
      <c r="G39" s="2">
        <v>1.9282102999999999</v>
      </c>
      <c r="H39" s="2">
        <v>0.78829486000000004</v>
      </c>
      <c r="I39" s="2">
        <v>0.37874181000000001</v>
      </c>
      <c r="J39" s="2">
        <v>5.9892091000000006E-14</v>
      </c>
      <c r="K39" s="2">
        <v>-83602.604000000007</v>
      </c>
      <c r="L39" s="2">
        <v>-22418.99</v>
      </c>
      <c r="M39" s="2">
        <v>339.7663</v>
      </c>
      <c r="N39" s="2">
        <v>75.665349000000006</v>
      </c>
      <c r="O39" s="2">
        <v>65.332105999999996</v>
      </c>
      <c r="P39" s="2">
        <v>0</v>
      </c>
      <c r="R39" s="2">
        <f t="shared" si="2"/>
        <v>0.84710338503000004</v>
      </c>
      <c r="S39" s="2">
        <f t="shared" si="0"/>
        <v>0.22716041617500002</v>
      </c>
      <c r="T39" s="2">
        <f t="shared" si="1"/>
        <v>-3.44268203475E-3</v>
      </c>
      <c r="U39" s="2">
        <f t="shared" si="3"/>
        <v>2.1751716666666669E-13</v>
      </c>
    </row>
    <row r="40" spans="2:21" x14ac:dyDescent="0.3">
      <c r="B40" s="2">
        <v>15500</v>
      </c>
      <c r="C40" s="2">
        <v>3.0999999999999999E-3</v>
      </c>
      <c r="D40" s="2">
        <v>-6.5255150000000005E-16</v>
      </c>
      <c r="E40" s="2">
        <v>0</v>
      </c>
      <c r="F40" s="2">
        <v>5.0814992999999999</v>
      </c>
      <c r="G40" s="2">
        <v>1.9850186000000001</v>
      </c>
      <c r="H40" s="2">
        <v>0.80531428000000005</v>
      </c>
      <c r="I40" s="2">
        <v>0.39193977000000002</v>
      </c>
      <c r="J40" s="2">
        <v>5.8798300000000003E-14</v>
      </c>
      <c r="K40" s="2">
        <v>-85842.486000000004</v>
      </c>
      <c r="L40" s="2">
        <v>-23683.353999999999</v>
      </c>
      <c r="M40" s="2">
        <v>113.05412</v>
      </c>
      <c r="N40" s="2">
        <v>75.672893000000002</v>
      </c>
      <c r="O40" s="2">
        <v>65.332105999999996</v>
      </c>
      <c r="P40" s="2">
        <v>0</v>
      </c>
      <c r="R40" s="2">
        <f t="shared" si="2"/>
        <v>0.869798989395</v>
      </c>
      <c r="S40" s="2">
        <f t="shared" si="0"/>
        <v>0.23997158440499999</v>
      </c>
      <c r="T40" s="2">
        <f t="shared" si="1"/>
        <v>-1.1455208709E-3</v>
      </c>
      <c r="U40" s="2">
        <f t="shared" si="3"/>
        <v>2.1050048387096778E-13</v>
      </c>
    </row>
    <row r="41" spans="2:21" x14ac:dyDescent="0.3">
      <c r="B41" s="2">
        <v>16000</v>
      </c>
      <c r="C41" s="2">
        <v>3.2000000000000002E-3</v>
      </c>
      <c r="D41" s="2">
        <v>-6.5255150000000005E-16</v>
      </c>
      <c r="E41" s="2">
        <v>0</v>
      </c>
      <c r="F41" s="2">
        <v>5.1086857999999999</v>
      </c>
      <c r="G41" s="2">
        <v>2.0297988</v>
      </c>
      <c r="H41" s="2">
        <v>0.83285938000000004</v>
      </c>
      <c r="I41" s="2">
        <v>0.40496028000000001</v>
      </c>
      <c r="J41" s="2">
        <v>5.9428684000000002E-14</v>
      </c>
      <c r="K41" s="2">
        <v>-88987.816000000006</v>
      </c>
      <c r="L41" s="2">
        <v>-24030.814999999999</v>
      </c>
      <c r="M41" s="2">
        <v>-644.23861999999997</v>
      </c>
      <c r="N41" s="2">
        <v>75.680436999999998</v>
      </c>
      <c r="O41" s="2">
        <v>65.332105999999996</v>
      </c>
      <c r="P41" s="2">
        <v>0</v>
      </c>
      <c r="R41" s="2">
        <f t="shared" si="2"/>
        <v>0.90166904562000005</v>
      </c>
      <c r="S41" s="2">
        <f t="shared" si="0"/>
        <v>0.24349223298749997</v>
      </c>
      <c r="T41" s="2">
        <f t="shared" si="1"/>
        <v>6.52774781715E-3</v>
      </c>
      <c r="U41" s="2">
        <f t="shared" si="3"/>
        <v>2.0392234374999999E-13</v>
      </c>
    </row>
    <row r="42" spans="2:21" x14ac:dyDescent="0.3">
      <c r="B42" s="2">
        <v>16500</v>
      </c>
      <c r="C42" s="2">
        <v>3.3E-3</v>
      </c>
      <c r="D42" s="2">
        <v>-6.5255150000000005E-16</v>
      </c>
      <c r="E42" s="2">
        <v>0</v>
      </c>
      <c r="F42" s="2">
        <v>5.2323756000000001</v>
      </c>
      <c r="G42" s="2">
        <v>2.0698137999999999</v>
      </c>
      <c r="H42" s="2">
        <v>0.85818377999999995</v>
      </c>
      <c r="I42" s="2">
        <v>0.40047570999999998</v>
      </c>
      <c r="J42" s="2">
        <v>5.9039884000000002E-14</v>
      </c>
      <c r="K42" s="2">
        <v>-91440.544999999998</v>
      </c>
      <c r="L42" s="2">
        <v>-25045.964</v>
      </c>
      <c r="M42" s="2">
        <v>1015.3119</v>
      </c>
      <c r="N42" s="2">
        <v>75.687980999999994</v>
      </c>
      <c r="O42" s="2">
        <v>65.332105999999996</v>
      </c>
      <c r="P42" s="2">
        <v>0</v>
      </c>
      <c r="R42" s="2">
        <f t="shared" si="2"/>
        <v>0.92652132221249994</v>
      </c>
      <c r="S42" s="2">
        <f t="shared" si="0"/>
        <v>0.25377823023000001</v>
      </c>
      <c r="T42" s="2">
        <f t="shared" si="1"/>
        <v>-1.0287647826750001E-2</v>
      </c>
      <c r="U42" s="2">
        <f t="shared" si="3"/>
        <v>1.977428787878788E-13</v>
      </c>
    </row>
    <row r="43" spans="2:21" x14ac:dyDescent="0.3">
      <c r="B43" s="2">
        <v>17000</v>
      </c>
      <c r="C43" s="2">
        <v>3.3999999999999998E-3</v>
      </c>
      <c r="D43" s="2">
        <v>-6.5255150000000005E-16</v>
      </c>
      <c r="E43" s="2">
        <v>0</v>
      </c>
      <c r="F43" s="2">
        <v>5.0212528000000001</v>
      </c>
      <c r="G43" s="2">
        <v>2.0802228999999999</v>
      </c>
      <c r="H43" s="2">
        <v>0.89226192000000004</v>
      </c>
      <c r="I43" s="2">
        <v>0.40953627999999997</v>
      </c>
      <c r="J43" s="2">
        <v>5.7091221000000001E-14</v>
      </c>
      <c r="K43" s="2">
        <v>-94312.396999999997</v>
      </c>
      <c r="L43" s="2">
        <v>-25671.606</v>
      </c>
      <c r="M43" s="2">
        <v>-1138.8090999999999</v>
      </c>
      <c r="N43" s="2">
        <v>75.695525000000004</v>
      </c>
      <c r="O43" s="2">
        <v>65.332105999999996</v>
      </c>
      <c r="P43" s="2">
        <v>0</v>
      </c>
      <c r="R43" s="2">
        <f t="shared" si="2"/>
        <v>0.95562036260249994</v>
      </c>
      <c r="S43" s="2">
        <f t="shared" si="0"/>
        <v>0.26011754779500001</v>
      </c>
      <c r="T43" s="2">
        <f t="shared" si="1"/>
        <v>1.153898320575E-2</v>
      </c>
      <c r="U43" s="2">
        <f t="shared" si="3"/>
        <v>1.9192691176470591E-13</v>
      </c>
    </row>
    <row r="44" spans="2:21" x14ac:dyDescent="0.3">
      <c r="B44" s="2">
        <v>17500</v>
      </c>
      <c r="C44" s="2">
        <v>3.5000000000000001E-3</v>
      </c>
      <c r="D44" s="2">
        <v>-6.5255150000000005E-16</v>
      </c>
      <c r="E44" s="2">
        <v>0</v>
      </c>
      <c r="F44" s="2">
        <v>4.8048416999999999</v>
      </c>
      <c r="G44" s="2">
        <v>2.0713192</v>
      </c>
      <c r="H44" s="2">
        <v>0.90478219999999998</v>
      </c>
      <c r="I44" s="2">
        <v>0.42166157999999998</v>
      </c>
      <c r="J44" s="2">
        <v>6.0563332000000002E-14</v>
      </c>
      <c r="K44" s="2">
        <v>-97203.528999999995</v>
      </c>
      <c r="L44" s="2">
        <v>-26326.976999999999</v>
      </c>
      <c r="M44" s="2">
        <v>933.82903999999996</v>
      </c>
      <c r="N44" s="2">
        <v>75.703068999999999</v>
      </c>
      <c r="O44" s="2">
        <v>65.332105999999996</v>
      </c>
      <c r="P44" s="2">
        <v>0</v>
      </c>
      <c r="R44" s="2">
        <f t="shared" si="2"/>
        <v>0.98491475759249991</v>
      </c>
      <c r="S44" s="2">
        <f t="shared" si="0"/>
        <v>0.26675809445249998</v>
      </c>
      <c r="T44" s="2">
        <f t="shared" si="1"/>
        <v>-9.4620227477999995E-3</v>
      </c>
      <c r="U44" s="2">
        <f t="shared" si="3"/>
        <v>1.8644328571428573E-13</v>
      </c>
    </row>
    <row r="45" spans="2:21" x14ac:dyDescent="0.3">
      <c r="B45" s="2">
        <v>18000</v>
      </c>
      <c r="C45" s="2">
        <v>3.5999999999999999E-3</v>
      </c>
      <c r="D45" s="2">
        <v>-6.5255150000000005E-16</v>
      </c>
      <c r="E45" s="2">
        <v>0</v>
      </c>
      <c r="F45" s="2">
        <v>5.0060298999999997</v>
      </c>
      <c r="G45" s="2">
        <v>2.1255291000000001</v>
      </c>
      <c r="H45" s="2">
        <v>0.91769791999999994</v>
      </c>
      <c r="I45" s="2">
        <v>0.43176641999999998</v>
      </c>
      <c r="J45" s="2">
        <v>6.0431437999999995E-14</v>
      </c>
      <c r="K45" s="2">
        <v>-99606.964999999997</v>
      </c>
      <c r="L45" s="2">
        <v>-27417.83</v>
      </c>
      <c r="M45" s="2">
        <v>-433.73387000000002</v>
      </c>
      <c r="N45" s="2">
        <v>75.710612999999995</v>
      </c>
      <c r="O45" s="2">
        <v>65.332105999999996</v>
      </c>
      <c r="P45" s="2">
        <v>0</v>
      </c>
      <c r="R45" s="2">
        <f t="shared" si="2"/>
        <v>1.0092675728625</v>
      </c>
      <c r="S45" s="2">
        <f t="shared" si="0"/>
        <v>0.27781116247500004</v>
      </c>
      <c r="T45" s="2">
        <f t="shared" si="1"/>
        <v>4.3948084377750003E-3</v>
      </c>
      <c r="U45" s="2">
        <f t="shared" si="3"/>
        <v>1.8126430555555559E-13</v>
      </c>
    </row>
    <row r="46" spans="2:21" x14ac:dyDescent="0.3">
      <c r="B46" s="2">
        <v>18500</v>
      </c>
      <c r="C46" s="2">
        <v>3.7000000000000002E-3</v>
      </c>
      <c r="D46" s="2">
        <v>-6.5255150000000005E-16</v>
      </c>
      <c r="E46" s="2">
        <v>0</v>
      </c>
      <c r="F46" s="2">
        <v>4.9351377000000003</v>
      </c>
      <c r="G46" s="2">
        <v>2.17367</v>
      </c>
      <c r="H46" s="2">
        <v>0.95767586000000005</v>
      </c>
      <c r="I46" s="2">
        <v>0.45091948999999998</v>
      </c>
      <c r="J46" s="2">
        <v>6.0331517999999998E-14</v>
      </c>
      <c r="K46" s="2">
        <v>-102906.93</v>
      </c>
      <c r="L46" s="2">
        <v>-27597.546999999999</v>
      </c>
      <c r="M46" s="2">
        <v>-202.71442999999999</v>
      </c>
      <c r="N46" s="2">
        <v>75.718157000000005</v>
      </c>
      <c r="O46" s="2">
        <v>65.332105999999996</v>
      </c>
      <c r="P46" s="2">
        <v>0</v>
      </c>
      <c r="R46" s="2">
        <f t="shared" si="2"/>
        <v>1.042704468225</v>
      </c>
      <c r="S46" s="2">
        <f t="shared" si="0"/>
        <v>0.2796321449775</v>
      </c>
      <c r="T46" s="2">
        <f t="shared" si="1"/>
        <v>2.0540039619750001E-3</v>
      </c>
      <c r="U46" s="2">
        <f t="shared" si="3"/>
        <v>1.7636527027027027E-13</v>
      </c>
    </row>
    <row r="47" spans="2:21" x14ac:dyDescent="0.3">
      <c r="B47" s="2">
        <v>19000</v>
      </c>
      <c r="C47" s="2">
        <v>3.8E-3</v>
      </c>
      <c r="D47" s="2">
        <v>-6.5255150000000005E-16</v>
      </c>
      <c r="E47" s="2">
        <v>0</v>
      </c>
      <c r="F47" s="2">
        <v>5.1235331999999998</v>
      </c>
      <c r="G47" s="2">
        <v>2.2035228999999998</v>
      </c>
      <c r="H47" s="2">
        <v>0.96573724000000005</v>
      </c>
      <c r="I47" s="2">
        <v>0.44350483000000002</v>
      </c>
      <c r="J47" s="2">
        <v>5.9346528000000001E-14</v>
      </c>
      <c r="K47" s="2">
        <v>-104921.38</v>
      </c>
      <c r="L47" s="2">
        <v>-29069.907999999999</v>
      </c>
      <c r="M47" s="2">
        <v>776.90264999999999</v>
      </c>
      <c r="N47" s="2">
        <v>75.725701000000001</v>
      </c>
      <c r="O47" s="2">
        <v>65.332105999999996</v>
      </c>
      <c r="P47" s="2">
        <v>0</v>
      </c>
      <c r="R47" s="2">
        <f t="shared" si="2"/>
        <v>1.06311588285</v>
      </c>
      <c r="S47" s="2">
        <f t="shared" si="0"/>
        <v>0.29455084280999999</v>
      </c>
      <c r="T47" s="2">
        <f t="shared" si="1"/>
        <v>-7.8719661011250001E-3</v>
      </c>
      <c r="U47" s="2">
        <f t="shared" si="3"/>
        <v>1.7172407894736844E-13</v>
      </c>
    </row>
    <row r="48" spans="2:21" x14ac:dyDescent="0.3">
      <c r="B48" s="2">
        <v>19500</v>
      </c>
      <c r="C48" s="2">
        <v>3.8999999999999998E-3</v>
      </c>
      <c r="D48" s="2">
        <v>-6.5255150000000005E-16</v>
      </c>
      <c r="E48" s="2">
        <v>0</v>
      </c>
      <c r="F48" s="2">
        <v>4.8523104999999997</v>
      </c>
      <c r="G48" s="2">
        <v>2.2020615000000001</v>
      </c>
      <c r="H48" s="2">
        <v>0.99975493000000004</v>
      </c>
      <c r="I48" s="2">
        <v>0.45007232000000003</v>
      </c>
      <c r="J48" s="2">
        <v>5.8753002000000004E-14</v>
      </c>
      <c r="K48" s="2">
        <v>-108449.38</v>
      </c>
      <c r="L48" s="2">
        <v>-29040.987000000001</v>
      </c>
      <c r="M48" s="2">
        <v>-1037.7682</v>
      </c>
      <c r="N48" s="2">
        <v>75.733244999999997</v>
      </c>
      <c r="O48" s="2">
        <v>65.332105999999996</v>
      </c>
      <c r="P48" s="2">
        <v>0</v>
      </c>
      <c r="R48" s="2">
        <f t="shared" si="2"/>
        <v>1.0988633428500001</v>
      </c>
      <c r="S48" s="2">
        <f t="shared" si="0"/>
        <v>0.29425780077750002</v>
      </c>
      <c r="T48" s="2">
        <f t="shared" si="1"/>
        <v>1.05151862865E-2</v>
      </c>
      <c r="U48" s="2">
        <f t="shared" si="3"/>
        <v>1.6732089743589745E-13</v>
      </c>
    </row>
    <row r="49" spans="2:21" x14ac:dyDescent="0.3">
      <c r="B49" s="2">
        <v>20000</v>
      </c>
      <c r="C49" s="2">
        <v>4.0000000000000001E-3</v>
      </c>
      <c r="D49" s="2">
        <v>-6.5255150000000005E-16</v>
      </c>
      <c r="E49" s="2">
        <v>0</v>
      </c>
      <c r="F49" s="2">
        <v>5.1133557999999999</v>
      </c>
      <c r="G49" s="2">
        <v>2.2308593000000001</v>
      </c>
      <c r="H49" s="2">
        <v>0.97291095999999999</v>
      </c>
      <c r="I49" s="2">
        <v>0.46524524</v>
      </c>
      <c r="J49" s="2">
        <v>5.9519056000000001E-14</v>
      </c>
      <c r="K49" s="2">
        <v>-110524.45</v>
      </c>
      <c r="L49" s="2">
        <v>-30542.032999999999</v>
      </c>
      <c r="M49" s="2">
        <v>915.62402999999995</v>
      </c>
      <c r="N49" s="2">
        <v>75.740787999999995</v>
      </c>
      <c r="O49" s="2">
        <v>65.332105999999996</v>
      </c>
      <c r="P49" s="2">
        <v>0</v>
      </c>
      <c r="R49" s="2">
        <f t="shared" si="2"/>
        <v>1.1198889896249999</v>
      </c>
      <c r="S49" s="2">
        <f t="shared" si="0"/>
        <v>0.30946714937249997</v>
      </c>
      <c r="T49" s="2">
        <f t="shared" si="1"/>
        <v>-9.2775604839749996E-3</v>
      </c>
      <c r="U49" s="2">
        <f t="shared" si="3"/>
        <v>1.6313787500000001E-13</v>
      </c>
    </row>
    <row r="50" spans="2:21" x14ac:dyDescent="0.3">
      <c r="B50" s="2">
        <v>20500</v>
      </c>
      <c r="C50" s="2">
        <v>4.1000000000000003E-3</v>
      </c>
      <c r="D50" s="2">
        <v>-6.5255150000000005E-16</v>
      </c>
      <c r="E50" s="2">
        <v>0</v>
      </c>
      <c r="F50" s="2">
        <v>4.9932492000000002</v>
      </c>
      <c r="G50" s="2">
        <v>2.2783231000000002</v>
      </c>
      <c r="H50" s="2">
        <v>1.0553380000000001</v>
      </c>
      <c r="I50" s="2">
        <v>0.44890166999999997</v>
      </c>
      <c r="J50" s="2">
        <v>6.1499249999999999E-14</v>
      </c>
      <c r="K50" s="2">
        <v>-113805.07</v>
      </c>
      <c r="L50" s="2">
        <v>-30626.758000000002</v>
      </c>
      <c r="M50" s="2">
        <v>-269.90305000000001</v>
      </c>
      <c r="N50" s="2">
        <v>75.748332000000005</v>
      </c>
      <c r="O50" s="2">
        <v>65.332105999999996</v>
      </c>
      <c r="P50" s="2">
        <v>0</v>
      </c>
      <c r="R50" s="2">
        <f t="shared" si="2"/>
        <v>1.153129871775</v>
      </c>
      <c r="S50" s="2">
        <f t="shared" si="0"/>
        <v>0.31032562543500003</v>
      </c>
      <c r="T50" s="2">
        <f t="shared" si="1"/>
        <v>2.734792654125E-3</v>
      </c>
      <c r="U50" s="2">
        <f t="shared" si="3"/>
        <v>1.5915890243902438E-13</v>
      </c>
    </row>
    <row r="51" spans="2:21" x14ac:dyDescent="0.3">
      <c r="B51" s="2">
        <v>21000</v>
      </c>
      <c r="C51" s="2">
        <v>4.1999999999999997E-3</v>
      </c>
      <c r="D51" s="2">
        <v>-6.5255150000000005E-16</v>
      </c>
      <c r="E51" s="2">
        <v>0</v>
      </c>
      <c r="F51" s="2">
        <v>5.2543113000000004</v>
      </c>
      <c r="G51" s="2">
        <v>2.3408126</v>
      </c>
      <c r="H51" s="2">
        <v>1.0537197</v>
      </c>
      <c r="I51" s="2">
        <v>0.47253803999999999</v>
      </c>
      <c r="J51" s="2">
        <v>5.9981353000000003E-14</v>
      </c>
      <c r="K51" s="2">
        <v>-116271.3</v>
      </c>
      <c r="L51" s="2">
        <v>-31682.77</v>
      </c>
      <c r="M51" s="2">
        <v>-551.41292999999996</v>
      </c>
      <c r="N51" s="2">
        <v>75.755876000000001</v>
      </c>
      <c r="O51" s="2">
        <v>65.332105999999996</v>
      </c>
      <c r="P51" s="2">
        <v>0</v>
      </c>
      <c r="R51" s="2">
        <f t="shared" si="2"/>
        <v>1.17811894725</v>
      </c>
      <c r="S51" s="2">
        <f t="shared" si="0"/>
        <v>0.32102566702500002</v>
      </c>
      <c r="T51" s="2">
        <f t="shared" si="1"/>
        <v>5.5871915132249999E-3</v>
      </c>
      <c r="U51" s="2">
        <f t="shared" si="3"/>
        <v>1.5536940476190479E-13</v>
      </c>
    </row>
    <row r="52" spans="2:21" x14ac:dyDescent="0.3">
      <c r="B52" s="2">
        <v>21500</v>
      </c>
      <c r="C52" s="2">
        <v>4.3E-3</v>
      </c>
      <c r="D52" s="2">
        <v>-6.5255150000000005E-16</v>
      </c>
      <c r="E52" s="2">
        <v>0</v>
      </c>
      <c r="F52" s="2">
        <v>5.0603695000000002</v>
      </c>
      <c r="G52" s="2">
        <v>2.3810984999999998</v>
      </c>
      <c r="H52" s="2">
        <v>1.0960441000000001</v>
      </c>
      <c r="I52" s="2">
        <v>0.50056560000000005</v>
      </c>
      <c r="J52" s="2">
        <v>5.8850479999999999E-14</v>
      </c>
      <c r="K52" s="2">
        <v>-118963.14</v>
      </c>
      <c r="L52" s="2">
        <v>-32486.621999999999</v>
      </c>
      <c r="M52" s="2">
        <v>1071.3853999999999</v>
      </c>
      <c r="N52" s="2">
        <v>75.763419999999996</v>
      </c>
      <c r="O52" s="2">
        <v>65.332105999999996</v>
      </c>
      <c r="P52" s="2">
        <v>0</v>
      </c>
      <c r="R52" s="2">
        <f t="shared" si="2"/>
        <v>1.2053940160500001</v>
      </c>
      <c r="S52" s="2">
        <f t="shared" si="0"/>
        <v>0.32917069741499999</v>
      </c>
      <c r="T52" s="2">
        <f t="shared" si="1"/>
        <v>-1.0855812565499999E-2</v>
      </c>
      <c r="U52" s="2">
        <f t="shared" si="3"/>
        <v>1.5175616279069767E-13</v>
      </c>
    </row>
    <row r="53" spans="2:21" x14ac:dyDescent="0.3">
      <c r="B53" s="2">
        <v>22000</v>
      </c>
      <c r="C53" s="2">
        <v>4.4000000000000003E-3</v>
      </c>
      <c r="D53" s="2">
        <v>-6.5255150000000005E-16</v>
      </c>
      <c r="E53" s="2">
        <v>0</v>
      </c>
      <c r="F53" s="2">
        <v>4.9575201</v>
      </c>
      <c r="G53" s="2">
        <v>2.4096994999999999</v>
      </c>
      <c r="H53" s="2">
        <v>1.1509761999999999</v>
      </c>
      <c r="I53" s="2">
        <v>0.49017876999999999</v>
      </c>
      <c r="J53" s="2">
        <v>5.7664984000000003E-14</v>
      </c>
      <c r="K53" s="2">
        <v>-122087.95</v>
      </c>
      <c r="L53" s="2">
        <v>-32778.425999999999</v>
      </c>
      <c r="M53" s="2">
        <v>-882.99116000000004</v>
      </c>
      <c r="N53" s="2">
        <v>75.770964000000006</v>
      </c>
      <c r="O53" s="2">
        <v>65.332105999999996</v>
      </c>
      <c r="P53" s="2">
        <v>0</v>
      </c>
      <c r="R53" s="2">
        <f t="shared" si="2"/>
        <v>1.237056153375</v>
      </c>
      <c r="S53" s="2">
        <f t="shared" si="0"/>
        <v>0.33212740144499997</v>
      </c>
      <c r="T53" s="2">
        <f t="shared" si="1"/>
        <v>8.9469079287000011E-3</v>
      </c>
      <c r="U53" s="2">
        <f t="shared" si="3"/>
        <v>1.483071590909091E-13</v>
      </c>
    </row>
    <row r="54" spans="2:21" x14ac:dyDescent="0.3">
      <c r="B54" s="2">
        <v>22500</v>
      </c>
      <c r="C54" s="2">
        <v>4.4999999999999997E-3</v>
      </c>
      <c r="D54" s="2">
        <v>-6.5255150000000005E-16</v>
      </c>
      <c r="E54" s="2">
        <v>0</v>
      </c>
      <c r="F54" s="2">
        <v>4.7594989999999999</v>
      </c>
      <c r="G54" s="2">
        <v>2.4262842</v>
      </c>
      <c r="H54" s="2">
        <v>1.1753159</v>
      </c>
      <c r="I54" s="2">
        <v>0.51312215999999999</v>
      </c>
      <c r="J54" s="2">
        <v>5.9356519999999994E-14</v>
      </c>
      <c r="K54" s="2">
        <v>-124284.09</v>
      </c>
      <c r="L54" s="2">
        <v>-34103.707000000002</v>
      </c>
      <c r="M54" s="2">
        <v>211.94633999999999</v>
      </c>
      <c r="N54" s="2">
        <v>75.778508000000002</v>
      </c>
      <c r="O54" s="2">
        <v>65.332105999999996</v>
      </c>
      <c r="P54" s="2">
        <v>0</v>
      </c>
      <c r="R54" s="2">
        <f t="shared" si="2"/>
        <v>1.2593085419249999</v>
      </c>
      <c r="S54" s="2">
        <f t="shared" si="0"/>
        <v>0.34555581117750001</v>
      </c>
      <c r="T54" s="2">
        <f t="shared" si="1"/>
        <v>-2.1475462900499998E-3</v>
      </c>
      <c r="U54" s="2">
        <f t="shared" si="3"/>
        <v>1.4501144444444446E-13</v>
      </c>
    </row>
    <row r="55" spans="2:21" x14ac:dyDescent="0.3">
      <c r="B55" s="2">
        <v>23000</v>
      </c>
      <c r="C55" s="2">
        <v>4.5999999999999999E-3</v>
      </c>
      <c r="D55" s="2">
        <v>-6.5255150000000005E-16</v>
      </c>
      <c r="E55" s="2">
        <v>0</v>
      </c>
      <c r="F55" s="2">
        <v>4.6668419999999999</v>
      </c>
      <c r="G55" s="2">
        <v>2.4280466000000001</v>
      </c>
      <c r="H55" s="2">
        <v>1.1837419</v>
      </c>
      <c r="I55" s="2">
        <v>0.52082280999999997</v>
      </c>
      <c r="J55" s="2">
        <v>6.2712723999999994E-14</v>
      </c>
      <c r="K55" s="2">
        <v>-127717.57</v>
      </c>
      <c r="L55" s="2">
        <v>-34198.800000000003</v>
      </c>
      <c r="M55" s="2">
        <v>677.13021000000003</v>
      </c>
      <c r="N55" s="2">
        <v>75.786051999999998</v>
      </c>
      <c r="O55" s="2">
        <v>65.332105999999996</v>
      </c>
      <c r="P55" s="2">
        <v>0</v>
      </c>
      <c r="R55" s="2">
        <f t="shared" si="2"/>
        <v>1.2940982780250001</v>
      </c>
      <c r="S55" s="2">
        <f t="shared" si="0"/>
        <v>0.34651934100000004</v>
      </c>
      <c r="T55" s="2">
        <f t="shared" si="1"/>
        <v>-6.861021852825E-3</v>
      </c>
      <c r="U55" s="2">
        <f t="shared" si="3"/>
        <v>1.4185902173913044E-13</v>
      </c>
    </row>
    <row r="56" spans="2:21" x14ac:dyDescent="0.3">
      <c r="B56" s="2">
        <v>23500</v>
      </c>
      <c r="C56" s="2">
        <v>4.7000000000000002E-3</v>
      </c>
      <c r="D56" s="2">
        <v>-6.5255150000000005E-16</v>
      </c>
      <c r="E56" s="2">
        <v>0</v>
      </c>
      <c r="F56" s="2">
        <v>4.9758690000000003</v>
      </c>
      <c r="G56" s="2">
        <v>2.4841972000000001</v>
      </c>
      <c r="H56" s="2">
        <v>1.1999268000000001</v>
      </c>
      <c r="I56" s="2">
        <v>0.51288135999999995</v>
      </c>
      <c r="J56" s="2">
        <v>5.8502314000000003E-14</v>
      </c>
      <c r="K56" s="2">
        <v>-129915.79</v>
      </c>
      <c r="L56" s="2">
        <v>-35451.781000000003</v>
      </c>
      <c r="M56" s="2">
        <v>-983.25331000000006</v>
      </c>
      <c r="N56" s="2">
        <v>75.793595999999994</v>
      </c>
      <c r="O56" s="2">
        <v>65.332105999999996</v>
      </c>
      <c r="P56" s="2">
        <v>0</v>
      </c>
      <c r="R56" s="2">
        <f t="shared" si="2"/>
        <v>1.3163717421749999</v>
      </c>
      <c r="S56" s="2">
        <f t="shared" si="0"/>
        <v>0.35921517098250005</v>
      </c>
      <c r="T56" s="2">
        <f t="shared" si="1"/>
        <v>9.9628141635750012E-3</v>
      </c>
      <c r="U56" s="2">
        <f t="shared" si="3"/>
        <v>1.3884074468085106E-13</v>
      </c>
    </row>
    <row r="57" spans="2:21" x14ac:dyDescent="0.3">
      <c r="B57" s="2">
        <v>24000</v>
      </c>
      <c r="C57" s="2">
        <v>4.7999999999999996E-3</v>
      </c>
      <c r="D57" s="2">
        <v>-6.5255150000000005E-16</v>
      </c>
      <c r="E57" s="2">
        <v>0</v>
      </c>
      <c r="F57" s="2">
        <v>5.0009186999999997</v>
      </c>
      <c r="G57" s="2">
        <v>2.5695380999999999</v>
      </c>
      <c r="H57" s="2">
        <v>1.2580568999999999</v>
      </c>
      <c r="I57" s="2">
        <v>0.53620877</v>
      </c>
      <c r="J57" s="2">
        <v>6.0733418E-14</v>
      </c>
      <c r="K57" s="2">
        <v>-132824.29999999999</v>
      </c>
      <c r="L57" s="2">
        <v>-35974.038</v>
      </c>
      <c r="M57" s="2">
        <v>514.15909999999997</v>
      </c>
      <c r="N57" s="2">
        <v>75.801140000000004</v>
      </c>
      <c r="O57" s="2">
        <v>65.332105999999996</v>
      </c>
      <c r="P57" s="2">
        <v>0</v>
      </c>
      <c r="R57" s="2">
        <f t="shared" si="2"/>
        <v>1.34584221975</v>
      </c>
      <c r="S57" s="2">
        <f t="shared" si="0"/>
        <v>0.364506940035</v>
      </c>
      <c r="T57" s="2">
        <f t="shared" si="1"/>
        <v>-5.2097170807499996E-3</v>
      </c>
      <c r="U57" s="2">
        <f t="shared" si="3"/>
        <v>1.359482291666667E-13</v>
      </c>
    </row>
    <row r="58" spans="2:21" x14ac:dyDescent="0.3">
      <c r="B58" s="2">
        <v>24500</v>
      </c>
      <c r="C58" s="2">
        <v>4.8999999999999998E-3</v>
      </c>
      <c r="D58" s="2">
        <v>-6.5255150000000005E-16</v>
      </c>
      <c r="E58" s="2">
        <v>0</v>
      </c>
      <c r="F58" s="2">
        <v>5.0217365000000003</v>
      </c>
      <c r="G58" s="2">
        <v>2.6256458999999999</v>
      </c>
      <c r="H58" s="2">
        <v>1.2793000000000001</v>
      </c>
      <c r="I58" s="2">
        <v>0.56784614</v>
      </c>
      <c r="J58" s="2">
        <v>5.7290616999999997E-14</v>
      </c>
      <c r="K58" s="2">
        <v>-135744.5</v>
      </c>
      <c r="L58" s="2">
        <v>-36567.506000000001</v>
      </c>
      <c r="M58" s="2">
        <v>388.13868000000002</v>
      </c>
      <c r="N58" s="2">
        <v>75.808684</v>
      </c>
      <c r="O58" s="2">
        <v>65.332105999999996</v>
      </c>
      <c r="P58" s="2">
        <v>0</v>
      </c>
      <c r="R58" s="2">
        <f t="shared" si="2"/>
        <v>1.37543114625</v>
      </c>
      <c r="S58" s="2">
        <f t="shared" si="0"/>
        <v>0.37052025454500004</v>
      </c>
      <c r="T58" s="2">
        <f t="shared" si="1"/>
        <v>-3.9328151751000006E-3</v>
      </c>
      <c r="U58" s="2">
        <f t="shared" si="3"/>
        <v>1.3317377551020409E-13</v>
      </c>
    </row>
    <row r="59" spans="2:21" x14ac:dyDescent="0.3">
      <c r="B59" s="2">
        <v>25000</v>
      </c>
      <c r="C59" s="2">
        <v>5.0000000000000001E-3</v>
      </c>
      <c r="D59" s="2">
        <v>-6.5255150000000005E-16</v>
      </c>
      <c r="E59" s="2">
        <v>0</v>
      </c>
      <c r="F59" s="2">
        <v>5.1360171000000001</v>
      </c>
      <c r="G59" s="2">
        <v>2.6822431</v>
      </c>
      <c r="H59" s="2">
        <v>1.3086112999999999</v>
      </c>
      <c r="I59" s="2">
        <v>0.57741564000000001</v>
      </c>
      <c r="J59" s="2">
        <v>5.8774985000000003E-14</v>
      </c>
      <c r="K59" s="2">
        <v>-138007.97</v>
      </c>
      <c r="L59" s="2">
        <v>-37768.432000000001</v>
      </c>
      <c r="M59" s="2">
        <v>-1052.0182</v>
      </c>
      <c r="N59" s="2">
        <v>75.816227999999995</v>
      </c>
      <c r="O59" s="2">
        <v>65.332105999999996</v>
      </c>
      <c r="P59" s="2">
        <v>0</v>
      </c>
      <c r="R59" s="2">
        <f t="shared" si="2"/>
        <v>1.398365756025</v>
      </c>
      <c r="S59" s="2">
        <f t="shared" si="0"/>
        <v>0.38268863724000002</v>
      </c>
      <c r="T59" s="2">
        <f t="shared" si="1"/>
        <v>1.0659574411500001E-2</v>
      </c>
      <c r="U59" s="2">
        <f t="shared" si="3"/>
        <v>1.3051030000000001E-13</v>
      </c>
    </row>
    <row r="60" spans="2:21" x14ac:dyDescent="0.3">
      <c r="B60" s="2">
        <v>25500</v>
      </c>
      <c r="C60" s="2">
        <v>5.1000000000000004E-3</v>
      </c>
      <c r="D60" s="2">
        <v>-6.5255150000000005E-16</v>
      </c>
      <c r="E60" s="2">
        <v>0</v>
      </c>
      <c r="F60" s="2">
        <v>5.3521304000000001</v>
      </c>
      <c r="G60" s="2">
        <v>2.7127859000000001</v>
      </c>
      <c r="H60" s="2">
        <v>1.3137635999999999</v>
      </c>
      <c r="I60" s="2">
        <v>0.56930287000000002</v>
      </c>
      <c r="J60" s="2">
        <v>5.9060533999999995E-14</v>
      </c>
      <c r="K60" s="2">
        <v>-141397.32999999999</v>
      </c>
      <c r="L60" s="2">
        <v>-37863.819000000003</v>
      </c>
      <c r="M60" s="2">
        <v>683.71830999999997</v>
      </c>
      <c r="N60" s="2">
        <v>75.823770999999994</v>
      </c>
      <c r="O60" s="2">
        <v>65.332105999999996</v>
      </c>
      <c r="P60" s="2">
        <v>0</v>
      </c>
      <c r="R60" s="2">
        <f t="shared" si="2"/>
        <v>1.4327084462249999</v>
      </c>
      <c r="S60" s="2">
        <f t="shared" si="0"/>
        <v>0.3836551460175</v>
      </c>
      <c r="T60" s="2">
        <f t="shared" si="1"/>
        <v>-6.927775776075E-3</v>
      </c>
      <c r="U60" s="2">
        <f t="shared" si="3"/>
        <v>1.2795127450980393E-13</v>
      </c>
    </row>
    <row r="61" spans="2:21" x14ac:dyDescent="0.3">
      <c r="B61" s="2">
        <v>26000</v>
      </c>
      <c r="C61" s="2">
        <v>5.1999999999999998E-3</v>
      </c>
      <c r="D61" s="2">
        <v>-6.5255150000000005E-16</v>
      </c>
      <c r="E61" s="2">
        <v>0</v>
      </c>
      <c r="F61" s="2">
        <v>4.8012109000000001</v>
      </c>
      <c r="G61" s="2">
        <v>2.7105286999999998</v>
      </c>
      <c r="H61" s="2">
        <v>1.3685391</v>
      </c>
      <c r="I61" s="2">
        <v>0.59767700999999995</v>
      </c>
      <c r="J61" s="2">
        <v>5.9766191999999998E-14</v>
      </c>
      <c r="K61" s="2">
        <v>-143529.24</v>
      </c>
      <c r="L61" s="2">
        <v>-39225.235000000001</v>
      </c>
      <c r="M61" s="2">
        <v>381.74203</v>
      </c>
      <c r="N61" s="2">
        <v>75.831315000000004</v>
      </c>
      <c r="O61" s="2">
        <v>65.332105999999996</v>
      </c>
      <c r="P61" s="2">
        <v>0</v>
      </c>
      <c r="R61" s="2">
        <f t="shared" si="2"/>
        <v>1.4543100243</v>
      </c>
      <c r="S61" s="2">
        <f t="shared" si="0"/>
        <v>0.39744969363749999</v>
      </c>
      <c r="T61" s="2">
        <f t="shared" si="1"/>
        <v>-3.8680011189749998E-3</v>
      </c>
      <c r="U61" s="2">
        <f t="shared" si="3"/>
        <v>1.254906730769231E-13</v>
      </c>
    </row>
    <row r="62" spans="2:21" x14ac:dyDescent="0.3">
      <c r="B62" s="2">
        <v>26500</v>
      </c>
      <c r="C62" s="2">
        <v>5.3E-3</v>
      </c>
      <c r="D62" s="2">
        <v>-6.5255150000000005E-16</v>
      </c>
      <c r="E62" s="2">
        <v>0</v>
      </c>
      <c r="F62" s="2">
        <v>4.9771909000000001</v>
      </c>
      <c r="G62" s="2">
        <v>2.7620832000000002</v>
      </c>
      <c r="H62" s="2">
        <v>1.4060751</v>
      </c>
      <c r="I62" s="2">
        <v>0.58441416999999996</v>
      </c>
      <c r="J62" s="2">
        <v>6.0755179000000001E-14</v>
      </c>
      <c r="K62" s="2">
        <v>-146477.91</v>
      </c>
      <c r="L62" s="2">
        <v>-39691.402000000002</v>
      </c>
      <c r="M62" s="2">
        <v>-998.26621999999998</v>
      </c>
      <c r="N62" s="2">
        <v>75.838858999999999</v>
      </c>
      <c r="O62" s="2">
        <v>65.332105999999996</v>
      </c>
      <c r="P62" s="2">
        <v>0</v>
      </c>
      <c r="R62" s="2">
        <f t="shared" si="2"/>
        <v>1.4841874230750001</v>
      </c>
      <c r="S62" s="2">
        <f t="shared" si="0"/>
        <v>0.402173130765</v>
      </c>
      <c r="T62" s="2">
        <f t="shared" si="1"/>
        <v>1.0114932474149999E-2</v>
      </c>
      <c r="U62" s="2">
        <f t="shared" si="3"/>
        <v>1.231229245283019E-13</v>
      </c>
    </row>
    <row r="63" spans="2:21" x14ac:dyDescent="0.3">
      <c r="B63" s="2">
        <v>27000</v>
      </c>
      <c r="C63" s="2">
        <v>5.4000000000000003E-3</v>
      </c>
      <c r="D63" s="2">
        <v>-6.5255150000000005E-16</v>
      </c>
      <c r="E63" s="2">
        <v>0</v>
      </c>
      <c r="F63" s="2">
        <v>5.1341564000000002</v>
      </c>
      <c r="G63" s="2">
        <v>2.8306548999999999</v>
      </c>
      <c r="H63" s="2">
        <v>1.4423722999999999</v>
      </c>
      <c r="I63" s="2">
        <v>0.59235484000000005</v>
      </c>
      <c r="J63" s="2">
        <v>5.9258820000000002E-14</v>
      </c>
      <c r="K63" s="2">
        <v>-149393.99</v>
      </c>
      <c r="L63" s="2">
        <v>-40216.697999999997</v>
      </c>
      <c r="M63" s="2">
        <v>511.70943</v>
      </c>
      <c r="N63" s="2">
        <v>75.846402999999995</v>
      </c>
      <c r="O63" s="2">
        <v>65.332105999999996</v>
      </c>
      <c r="P63" s="2">
        <v>0</v>
      </c>
      <c r="R63" s="2">
        <f t="shared" si="2"/>
        <v>1.5137346036749999</v>
      </c>
      <c r="S63" s="2">
        <f t="shared" si="0"/>
        <v>0.40749569248499995</v>
      </c>
      <c r="T63" s="2">
        <f t="shared" si="1"/>
        <v>-5.1848957994750002E-3</v>
      </c>
      <c r="U63" s="2">
        <f t="shared" si="3"/>
        <v>1.2084287037037037E-13</v>
      </c>
    </row>
    <row r="64" spans="2:21" x14ac:dyDescent="0.3">
      <c r="B64" s="2">
        <v>27500</v>
      </c>
      <c r="C64" s="2">
        <v>5.4999999999999997E-3</v>
      </c>
      <c r="D64" s="2">
        <v>-6.5255150000000005E-16</v>
      </c>
      <c r="E64" s="2">
        <v>0</v>
      </c>
      <c r="F64" s="2">
        <v>5.2378571000000003</v>
      </c>
      <c r="G64" s="2">
        <v>2.9168915000000002</v>
      </c>
      <c r="H64" s="2">
        <v>1.4723417999999999</v>
      </c>
      <c r="I64" s="2">
        <v>0.63254564999999996</v>
      </c>
      <c r="J64" s="2">
        <v>5.9765303999999994E-14</v>
      </c>
      <c r="K64" s="2">
        <v>-151561.03</v>
      </c>
      <c r="L64" s="2">
        <v>-41540.980000000003</v>
      </c>
      <c r="M64" s="2">
        <v>523.28318999999999</v>
      </c>
      <c r="N64" s="2">
        <v>75.853947000000005</v>
      </c>
      <c r="O64" s="2">
        <v>65.332105999999996</v>
      </c>
      <c r="P64" s="2">
        <v>0</v>
      </c>
      <c r="R64" s="2">
        <f t="shared" si="2"/>
        <v>1.535692136475</v>
      </c>
      <c r="S64" s="2">
        <f t="shared" si="0"/>
        <v>0.42091397985000001</v>
      </c>
      <c r="T64" s="2">
        <f t="shared" si="1"/>
        <v>-5.3021669226750003E-3</v>
      </c>
      <c r="U64" s="2">
        <f t="shared" si="3"/>
        <v>1.1864572727272729E-13</v>
      </c>
    </row>
    <row r="65" spans="2:21" x14ac:dyDescent="0.3">
      <c r="B65" s="2">
        <v>28000</v>
      </c>
      <c r="C65" s="2">
        <v>5.5999999999999999E-3</v>
      </c>
      <c r="D65" s="2">
        <v>-6.5255150000000005E-16</v>
      </c>
      <c r="E65" s="2">
        <v>0</v>
      </c>
      <c r="F65" s="2">
        <v>5.2897100999999997</v>
      </c>
      <c r="G65" s="2">
        <v>2.9450864000000001</v>
      </c>
      <c r="H65" s="2">
        <v>1.5069404</v>
      </c>
      <c r="I65" s="2">
        <v>0.61810343999999995</v>
      </c>
      <c r="J65" s="2">
        <v>6.0166093999999994E-14</v>
      </c>
      <c r="K65" s="2">
        <v>-154982.64000000001</v>
      </c>
      <c r="L65" s="2">
        <v>-41544.993000000002</v>
      </c>
      <c r="M65" s="2">
        <v>-969.11225999999999</v>
      </c>
      <c r="N65" s="2">
        <v>75.861491000000001</v>
      </c>
      <c r="O65" s="2">
        <v>65.332105999999996</v>
      </c>
      <c r="P65" s="2">
        <v>0</v>
      </c>
      <c r="R65" s="2">
        <f t="shared" si="2"/>
        <v>1.5703615998000002</v>
      </c>
      <c r="S65" s="2">
        <f t="shared" si="0"/>
        <v>0.42095464157250001</v>
      </c>
      <c r="T65" s="2">
        <f t="shared" si="1"/>
        <v>9.8195299744500003E-3</v>
      </c>
      <c r="U65" s="2">
        <f t="shared" si="3"/>
        <v>1.1652705357142858E-13</v>
      </c>
    </row>
    <row r="66" spans="2:21" x14ac:dyDescent="0.3">
      <c r="B66" s="2">
        <v>28500</v>
      </c>
      <c r="C66" s="2">
        <v>5.7000000000000002E-3</v>
      </c>
      <c r="D66" s="2">
        <v>-6.5255150000000005E-16</v>
      </c>
      <c r="E66" s="2">
        <v>0</v>
      </c>
      <c r="F66" s="2">
        <v>5.0704823000000001</v>
      </c>
      <c r="G66" s="2">
        <v>2.979867</v>
      </c>
      <c r="H66" s="2">
        <v>1.5397034999999999</v>
      </c>
      <c r="I66" s="2">
        <v>0.65410694000000003</v>
      </c>
      <c r="J66" s="2">
        <v>5.9771743000000002E-14</v>
      </c>
      <c r="K66" s="2">
        <v>-157333.32999999999</v>
      </c>
      <c r="L66" s="2">
        <v>-42707.688999999998</v>
      </c>
      <c r="M66" s="2">
        <v>159.79409000000001</v>
      </c>
      <c r="N66" s="2">
        <v>75.869034999999997</v>
      </c>
      <c r="O66" s="2">
        <v>65.332105999999996</v>
      </c>
      <c r="P66" s="2">
        <v>0</v>
      </c>
      <c r="R66" s="2">
        <f t="shared" si="2"/>
        <v>1.5941799662249998</v>
      </c>
      <c r="S66" s="2">
        <f t="shared" si="0"/>
        <v>0.43273565879249998</v>
      </c>
      <c r="T66" s="2">
        <f t="shared" si="1"/>
        <v>-1.6191136169250002E-3</v>
      </c>
      <c r="U66" s="2">
        <f t="shared" si="3"/>
        <v>1.1448271929824562E-13</v>
      </c>
    </row>
    <row r="67" spans="2:21" x14ac:dyDescent="0.3">
      <c r="B67" s="2">
        <v>29000</v>
      </c>
      <c r="C67" s="2">
        <v>5.7999999999999996E-3</v>
      </c>
      <c r="D67" s="2">
        <v>-6.5255150000000005E-16</v>
      </c>
      <c r="E67" s="2">
        <v>0</v>
      </c>
      <c r="F67" s="2">
        <v>4.7191698999999998</v>
      </c>
      <c r="G67" s="2">
        <v>3.0077693999999999</v>
      </c>
      <c r="H67" s="2">
        <v>1.615124</v>
      </c>
      <c r="I67" s="2">
        <v>0.66105133000000005</v>
      </c>
      <c r="J67" s="2">
        <v>5.9281691000000006E-14</v>
      </c>
      <c r="K67" s="2">
        <v>-160011.94</v>
      </c>
      <c r="L67" s="2">
        <v>-43436.873</v>
      </c>
      <c r="M67" s="2">
        <v>889.31795</v>
      </c>
      <c r="N67" s="2">
        <v>75.876579000000007</v>
      </c>
      <c r="O67" s="2">
        <v>65.332105999999996</v>
      </c>
      <c r="P67" s="2">
        <v>0</v>
      </c>
      <c r="R67" s="2">
        <f t="shared" si="2"/>
        <v>1.6213209820500001</v>
      </c>
      <c r="S67" s="2">
        <f t="shared" si="0"/>
        <v>0.44012411567249998</v>
      </c>
      <c r="T67" s="2">
        <f t="shared" si="1"/>
        <v>-9.0110141283749993E-3</v>
      </c>
      <c r="U67" s="2">
        <f t="shared" si="3"/>
        <v>1.1250887931034485E-13</v>
      </c>
    </row>
    <row r="68" spans="2:21" x14ac:dyDescent="0.3">
      <c r="B68" s="2">
        <v>29500</v>
      </c>
      <c r="C68" s="2">
        <v>5.8999999999999999E-3</v>
      </c>
      <c r="D68" s="2">
        <v>-6.5255150000000005E-16</v>
      </c>
      <c r="E68" s="2">
        <v>0</v>
      </c>
      <c r="F68" s="2">
        <v>4.8209638000000004</v>
      </c>
      <c r="G68" s="2">
        <v>3.0254528999999999</v>
      </c>
      <c r="H68" s="2">
        <v>1.6325133999999999</v>
      </c>
      <c r="I68" s="2">
        <v>0.64556480000000005</v>
      </c>
      <c r="J68" s="2">
        <v>6.1564753000000001E-14</v>
      </c>
      <c r="K68" s="2">
        <v>-163222.70000000001</v>
      </c>
      <c r="L68" s="2">
        <v>-43683.885999999999</v>
      </c>
      <c r="M68" s="2">
        <v>-738.51634000000001</v>
      </c>
      <c r="N68" s="2">
        <v>75.884123000000002</v>
      </c>
      <c r="O68" s="2">
        <v>65.332105999999996</v>
      </c>
      <c r="P68" s="2">
        <v>0</v>
      </c>
      <c r="R68" s="2">
        <f t="shared" si="2"/>
        <v>1.6538540077500001</v>
      </c>
      <c r="S68" s="2">
        <f t="shared" si="0"/>
        <v>0.44262697489499997</v>
      </c>
      <c r="T68" s="2">
        <f t="shared" si="1"/>
        <v>7.48301681505E-3</v>
      </c>
      <c r="U68" s="2">
        <f t="shared" si="3"/>
        <v>1.1060194915254239E-13</v>
      </c>
    </row>
    <row r="69" spans="2:21" x14ac:dyDescent="0.3">
      <c r="B69" s="2">
        <v>30000</v>
      </c>
      <c r="C69" s="2">
        <v>6.0000000000000001E-3</v>
      </c>
      <c r="D69" s="2">
        <v>-6.5255150000000005E-16</v>
      </c>
      <c r="E69" s="2">
        <v>0</v>
      </c>
      <c r="F69" s="2">
        <v>4.7181667999999997</v>
      </c>
      <c r="G69" s="2">
        <v>3.0560190999999999</v>
      </c>
      <c r="H69" s="2">
        <v>1.6385029</v>
      </c>
      <c r="I69" s="2">
        <v>0.68607764000000004</v>
      </c>
      <c r="J69" s="2">
        <v>6.0244920000000002E-14</v>
      </c>
      <c r="K69" s="2">
        <v>-165312.18</v>
      </c>
      <c r="L69" s="2">
        <v>-45144.612999999998</v>
      </c>
      <c r="M69" s="2">
        <v>-490.13135999999997</v>
      </c>
      <c r="N69" s="2">
        <v>75.891666999999998</v>
      </c>
      <c r="O69" s="2">
        <v>65.332105999999996</v>
      </c>
      <c r="P69" s="2">
        <v>0</v>
      </c>
      <c r="R69" s="2">
        <f t="shared" si="2"/>
        <v>1.6750256638499998</v>
      </c>
      <c r="S69" s="2">
        <f t="shared" si="0"/>
        <v>0.45742779122249999</v>
      </c>
      <c r="T69" s="2">
        <f t="shared" si="1"/>
        <v>4.9662560051999998E-3</v>
      </c>
      <c r="U69" s="2">
        <f t="shared" si="3"/>
        <v>1.0875858333333334E-13</v>
      </c>
    </row>
    <row r="70" spans="2:21" x14ac:dyDescent="0.3">
      <c r="B70" s="2">
        <v>30500</v>
      </c>
      <c r="C70" s="2">
        <v>6.1000000000000004E-3</v>
      </c>
      <c r="D70" s="2">
        <v>-6.5255150000000005E-16</v>
      </c>
      <c r="E70" s="2">
        <v>0</v>
      </c>
      <c r="F70" s="2">
        <v>4.9621605000000004</v>
      </c>
      <c r="G70" s="2">
        <v>3.1555379000000001</v>
      </c>
      <c r="H70" s="2">
        <v>1.6863478999999999</v>
      </c>
      <c r="I70" s="2">
        <v>0.69992615000000002</v>
      </c>
      <c r="J70" s="2">
        <v>6.0650151999999997E-14</v>
      </c>
      <c r="K70" s="2">
        <v>-168390.11</v>
      </c>
      <c r="L70" s="2">
        <v>-45482.718999999997</v>
      </c>
      <c r="M70" s="2">
        <v>1022.1258</v>
      </c>
      <c r="N70" s="2">
        <v>75.899209999999997</v>
      </c>
      <c r="O70" s="2">
        <v>65.332105999999996</v>
      </c>
      <c r="P70" s="2">
        <v>0</v>
      </c>
      <c r="R70" s="2">
        <f t="shared" si="2"/>
        <v>1.7062127895749999</v>
      </c>
      <c r="S70" s="2">
        <f t="shared" si="0"/>
        <v>0.46085365026749997</v>
      </c>
      <c r="T70" s="2">
        <f t="shared" si="1"/>
        <v>-1.0356689668500001E-2</v>
      </c>
      <c r="U70" s="2">
        <f t="shared" si="3"/>
        <v>1.0697565573770492E-13</v>
      </c>
    </row>
    <row r="71" spans="2:21" x14ac:dyDescent="0.3">
      <c r="B71" s="2">
        <v>31000</v>
      </c>
      <c r="C71" s="2">
        <v>6.1999999999999998E-3</v>
      </c>
      <c r="D71" s="2">
        <v>-6.5255150000000005E-16</v>
      </c>
      <c r="E71" s="2">
        <v>0</v>
      </c>
      <c r="F71" s="2">
        <v>5.2141242999999999</v>
      </c>
      <c r="G71" s="2">
        <v>3.2286408999999998</v>
      </c>
      <c r="H71" s="2">
        <v>1.7245067000000001</v>
      </c>
      <c r="I71" s="2">
        <v>0.69580927999999997</v>
      </c>
      <c r="J71" s="2">
        <v>5.9311666999999998E-14</v>
      </c>
      <c r="K71" s="2">
        <v>-171286.43</v>
      </c>
      <c r="L71" s="2">
        <v>-45992.097999999998</v>
      </c>
      <c r="M71" s="2">
        <v>152.73048</v>
      </c>
      <c r="N71" s="2">
        <v>75.906754000000006</v>
      </c>
      <c r="O71" s="2">
        <v>65.332105999999996</v>
      </c>
      <c r="P71" s="2">
        <v>0</v>
      </c>
      <c r="R71" s="2">
        <f t="shared" si="2"/>
        <v>1.7355597519749999</v>
      </c>
      <c r="S71" s="2">
        <f t="shared" si="0"/>
        <v>0.46601493298499996</v>
      </c>
      <c r="T71" s="2">
        <f t="shared" si="1"/>
        <v>-1.5475415886000001E-3</v>
      </c>
      <c r="U71" s="2">
        <f t="shared" si="3"/>
        <v>1.0525024193548389E-13</v>
      </c>
    </row>
    <row r="72" spans="2:21" x14ac:dyDescent="0.3">
      <c r="B72" s="2">
        <v>31500</v>
      </c>
      <c r="C72" s="2">
        <v>6.3E-3</v>
      </c>
      <c r="D72" s="2">
        <v>-6.5255150000000005E-16</v>
      </c>
      <c r="E72" s="2">
        <v>0</v>
      </c>
      <c r="F72" s="2">
        <v>4.9253327000000002</v>
      </c>
      <c r="G72" s="2">
        <v>3.2897055000000002</v>
      </c>
      <c r="H72" s="2">
        <v>1.7910069</v>
      </c>
      <c r="I72" s="2">
        <v>0.73514394999999999</v>
      </c>
      <c r="J72" s="2">
        <v>5.6931793000000002E-14</v>
      </c>
      <c r="K72" s="2">
        <v>-173440.05</v>
      </c>
      <c r="L72" s="2">
        <v>-47287.548999999999</v>
      </c>
      <c r="M72" s="2">
        <v>-1021.897</v>
      </c>
      <c r="N72" s="2">
        <v>75.914298000000002</v>
      </c>
      <c r="O72" s="2">
        <v>65.332105999999996</v>
      </c>
      <c r="P72" s="2">
        <v>0</v>
      </c>
      <c r="R72" s="2">
        <f t="shared" si="2"/>
        <v>1.7573813066249999</v>
      </c>
      <c r="S72" s="2">
        <f t="shared" si="0"/>
        <v>0.47914109024250001</v>
      </c>
      <c r="T72" s="2">
        <f t="shared" si="1"/>
        <v>1.0354371352500001E-2</v>
      </c>
      <c r="U72" s="2">
        <f t="shared" si="3"/>
        <v>1.0357960317460318E-13</v>
      </c>
    </row>
    <row r="73" spans="2:21" x14ac:dyDescent="0.3">
      <c r="B73" s="2">
        <v>32000</v>
      </c>
      <c r="C73" s="2">
        <v>6.4000000000000003E-3</v>
      </c>
      <c r="D73" s="2">
        <v>-6.5255150000000005E-16</v>
      </c>
      <c r="E73" s="2">
        <v>0</v>
      </c>
      <c r="F73" s="2">
        <v>5.1760611000000001</v>
      </c>
      <c r="G73" s="2">
        <v>3.3528452999999998</v>
      </c>
      <c r="H73" s="2">
        <v>1.8164266</v>
      </c>
      <c r="I73" s="2">
        <v>0.73399468999999995</v>
      </c>
      <c r="J73" s="2">
        <v>5.9197091999999996E-14</v>
      </c>
      <c r="K73" s="2">
        <v>-176732.33</v>
      </c>
      <c r="L73" s="2">
        <v>-47432.434000000001</v>
      </c>
      <c r="M73" s="2">
        <v>237.72077999999999</v>
      </c>
      <c r="N73" s="2">
        <v>75.921841999999998</v>
      </c>
      <c r="O73" s="2">
        <v>65.332105999999996</v>
      </c>
      <c r="P73" s="2">
        <v>0</v>
      </c>
      <c r="R73" s="2">
        <f t="shared" si="2"/>
        <v>1.7907403337249999</v>
      </c>
      <c r="S73" s="2">
        <f t="shared" ref="S73:S136" si="4">-L73*$B$3</f>
        <v>0.48060913750500001</v>
      </c>
      <c r="T73" s="2">
        <f t="shared" ref="T73:T136" si="5">-M73*$B$3</f>
        <v>-2.4087058033499999E-3</v>
      </c>
      <c r="U73" s="2">
        <f t="shared" si="3"/>
        <v>1.01961171875E-13</v>
      </c>
    </row>
    <row r="74" spans="2:21" x14ac:dyDescent="0.3">
      <c r="B74" s="2">
        <v>32500</v>
      </c>
      <c r="C74" s="2">
        <v>6.4999999999999997E-3</v>
      </c>
      <c r="D74" s="2">
        <v>-6.5255150000000005E-16</v>
      </c>
      <c r="E74" s="2">
        <v>0</v>
      </c>
      <c r="F74" s="2">
        <v>5.2400745000000004</v>
      </c>
      <c r="G74" s="2">
        <v>3.3724810999999999</v>
      </c>
      <c r="H74" s="2">
        <v>1.8262187000000001</v>
      </c>
      <c r="I74" s="2">
        <v>0.73391463000000001</v>
      </c>
      <c r="J74" s="2">
        <v>5.9012128999999995E-14</v>
      </c>
      <c r="K74" s="2">
        <v>-179401.51</v>
      </c>
      <c r="L74" s="2">
        <v>-48244.451999999997</v>
      </c>
      <c r="M74" s="2">
        <v>924.86472000000003</v>
      </c>
      <c r="N74" s="2">
        <v>75.929385999999994</v>
      </c>
      <c r="O74" s="2">
        <v>65.332105999999996</v>
      </c>
      <c r="P74" s="2">
        <v>0</v>
      </c>
      <c r="R74" s="2">
        <f t="shared" ref="R74:R137" si="6">-K74*$B$3</f>
        <v>1.817785800075</v>
      </c>
      <c r="S74" s="2">
        <f t="shared" si="4"/>
        <v>0.48883690988999995</v>
      </c>
      <c r="T74" s="2">
        <f t="shared" si="5"/>
        <v>-9.3711917754000004E-3</v>
      </c>
      <c r="U74" s="2">
        <f t="shared" ref="U74:U137" si="7">-D74/C74</f>
        <v>1.0039253846153847E-13</v>
      </c>
    </row>
    <row r="75" spans="2:21" x14ac:dyDescent="0.3">
      <c r="B75" s="2">
        <v>33000</v>
      </c>
      <c r="C75" s="2">
        <v>6.6E-3</v>
      </c>
      <c r="D75" s="2">
        <v>-6.5255150000000005E-16</v>
      </c>
      <c r="E75" s="2">
        <v>0</v>
      </c>
      <c r="F75" s="2">
        <v>5.0580688</v>
      </c>
      <c r="G75" s="2">
        <v>3.4115703000000002</v>
      </c>
      <c r="H75" s="2">
        <v>1.8788229999999999</v>
      </c>
      <c r="I75" s="2">
        <v>0.74861513999999996</v>
      </c>
      <c r="J75" s="2">
        <v>6.0505823E-14</v>
      </c>
      <c r="K75" s="2">
        <v>-181628.66</v>
      </c>
      <c r="L75" s="2">
        <v>-49461.627</v>
      </c>
      <c r="M75" s="2">
        <v>-505.45461999999998</v>
      </c>
      <c r="N75" s="2">
        <v>75.936930000000004</v>
      </c>
      <c r="O75" s="2">
        <v>65.332105999999996</v>
      </c>
      <c r="P75" s="2">
        <v>0</v>
      </c>
      <c r="R75" s="2">
        <f t="shared" si="6"/>
        <v>1.84035239745</v>
      </c>
      <c r="S75" s="2">
        <f t="shared" si="4"/>
        <v>0.5011699355775</v>
      </c>
      <c r="T75" s="2">
        <f t="shared" si="5"/>
        <v>5.1215189371499993E-3</v>
      </c>
      <c r="U75" s="2">
        <f t="shared" si="7"/>
        <v>9.8871439393939401E-14</v>
      </c>
    </row>
    <row r="76" spans="2:21" x14ac:dyDescent="0.3">
      <c r="B76" s="2">
        <v>33500</v>
      </c>
      <c r="C76" s="2">
        <v>6.7000000000000002E-3</v>
      </c>
      <c r="D76" s="2">
        <v>-6.5255150000000005E-16</v>
      </c>
      <c r="E76" s="2">
        <v>0</v>
      </c>
      <c r="F76" s="2">
        <v>4.9200309999999998</v>
      </c>
      <c r="G76" s="2">
        <v>3.4866708000000002</v>
      </c>
      <c r="H76" s="2">
        <v>1.9564603</v>
      </c>
      <c r="I76" s="2">
        <v>0.76747779000000005</v>
      </c>
      <c r="J76" s="2">
        <v>5.7731819000000004E-14</v>
      </c>
      <c r="K76" s="2">
        <v>-184883.57</v>
      </c>
      <c r="L76" s="2">
        <v>-49590.050999999999</v>
      </c>
      <c r="M76" s="2">
        <v>-787.36644999999999</v>
      </c>
      <c r="N76" s="2">
        <v>75.944474</v>
      </c>
      <c r="O76" s="2">
        <v>65.332105999999996</v>
      </c>
      <c r="P76" s="2">
        <v>0</v>
      </c>
      <c r="R76" s="2">
        <f t="shared" si="6"/>
        <v>1.873332773025</v>
      </c>
      <c r="S76" s="2">
        <f t="shared" si="4"/>
        <v>0.50247119175749999</v>
      </c>
      <c r="T76" s="2">
        <f t="shared" si="5"/>
        <v>7.9779905546249995E-3</v>
      </c>
      <c r="U76" s="2">
        <f t="shared" si="7"/>
        <v>9.7395746268656719E-14</v>
      </c>
    </row>
    <row r="77" spans="2:21" x14ac:dyDescent="0.3">
      <c r="B77" s="2">
        <v>34000</v>
      </c>
      <c r="C77" s="2">
        <v>6.7999999999999996E-3</v>
      </c>
      <c r="D77" s="2">
        <v>-6.5255150000000005E-16</v>
      </c>
      <c r="E77" s="2">
        <v>0</v>
      </c>
      <c r="F77" s="2">
        <v>5.1740162999999999</v>
      </c>
      <c r="G77" s="2">
        <v>3.5782881</v>
      </c>
      <c r="H77" s="2">
        <v>1.989134</v>
      </c>
      <c r="I77" s="2">
        <v>0.78704711000000005</v>
      </c>
      <c r="J77" s="2">
        <v>5.9064087000000005E-14</v>
      </c>
      <c r="K77" s="2">
        <v>-187500.2</v>
      </c>
      <c r="L77" s="2">
        <v>-50417.832000000002</v>
      </c>
      <c r="M77" s="2">
        <v>668.48802999999998</v>
      </c>
      <c r="N77" s="2">
        <v>75.952017999999995</v>
      </c>
      <c r="O77" s="2">
        <v>65.332105999999996</v>
      </c>
      <c r="P77" s="2">
        <v>0</v>
      </c>
      <c r="R77" s="2">
        <f t="shared" si="6"/>
        <v>1.8998457765000001</v>
      </c>
      <c r="S77" s="2">
        <f t="shared" si="4"/>
        <v>0.51085868274000001</v>
      </c>
      <c r="T77" s="2">
        <f t="shared" si="5"/>
        <v>-6.7734549639749996E-3</v>
      </c>
      <c r="U77" s="2">
        <f t="shared" si="7"/>
        <v>9.5963455882352956E-14</v>
      </c>
    </row>
    <row r="78" spans="2:21" x14ac:dyDescent="0.3">
      <c r="B78" s="2">
        <v>34500</v>
      </c>
      <c r="C78" s="2">
        <v>6.8999999999999999E-3</v>
      </c>
      <c r="D78" s="2">
        <v>-6.5255150000000005E-16</v>
      </c>
      <c r="E78" s="2">
        <v>0</v>
      </c>
      <c r="F78" s="2">
        <v>4.9930032999999998</v>
      </c>
      <c r="G78" s="2">
        <v>3.6168072000000002</v>
      </c>
      <c r="H78" s="2">
        <v>2.0262340000000001</v>
      </c>
      <c r="I78" s="2">
        <v>0.81652784</v>
      </c>
      <c r="J78" s="2">
        <v>6.1050054000000005E-14</v>
      </c>
      <c r="K78" s="2">
        <v>-189735.24</v>
      </c>
      <c r="L78" s="2">
        <v>-51661.572</v>
      </c>
      <c r="M78" s="2">
        <v>933.33308</v>
      </c>
      <c r="N78" s="2">
        <v>75.959562000000005</v>
      </c>
      <c r="O78" s="2">
        <v>65.332105999999996</v>
      </c>
      <c r="P78" s="2">
        <v>0</v>
      </c>
      <c r="R78" s="2">
        <f t="shared" si="6"/>
        <v>1.9224923192999999</v>
      </c>
      <c r="S78" s="2">
        <f t="shared" si="4"/>
        <v>0.52346087828999999</v>
      </c>
      <c r="T78" s="2">
        <f t="shared" si="5"/>
        <v>-9.4569974331000003E-3</v>
      </c>
      <c r="U78" s="2">
        <f t="shared" si="7"/>
        <v>9.4572681159420293E-14</v>
      </c>
    </row>
    <row r="79" spans="2:21" x14ac:dyDescent="0.3">
      <c r="B79" s="2">
        <v>35000</v>
      </c>
      <c r="C79" s="2">
        <v>7.0000000000000001E-3</v>
      </c>
      <c r="D79" s="2">
        <v>-6.5255150000000005E-16</v>
      </c>
      <c r="E79" s="2">
        <v>0</v>
      </c>
      <c r="F79" s="2">
        <v>4.8124247000000002</v>
      </c>
      <c r="G79" s="2">
        <v>3.6151080000000002</v>
      </c>
      <c r="H79" s="2">
        <v>2.0610512000000001</v>
      </c>
      <c r="I79" s="2">
        <v>0.80800583999999998</v>
      </c>
      <c r="J79" s="2">
        <v>5.9668269999999996E-14</v>
      </c>
      <c r="K79" s="2">
        <v>-193102.74</v>
      </c>
      <c r="L79" s="2">
        <v>-51744.966</v>
      </c>
      <c r="M79" s="2">
        <v>-538.47601999999995</v>
      </c>
      <c r="N79" s="2">
        <v>75.967106000000001</v>
      </c>
      <c r="O79" s="2">
        <v>65.332105999999996</v>
      </c>
      <c r="P79" s="2">
        <v>0</v>
      </c>
      <c r="R79" s="2">
        <f t="shared" si="6"/>
        <v>1.95661351305</v>
      </c>
      <c r="S79" s="2">
        <f t="shared" si="4"/>
        <v>0.52430586799500001</v>
      </c>
      <c r="T79" s="2">
        <f t="shared" si="5"/>
        <v>5.4561082726499992E-3</v>
      </c>
      <c r="U79" s="2">
        <f t="shared" si="7"/>
        <v>9.3221642857142863E-14</v>
      </c>
    </row>
    <row r="80" spans="2:21" x14ac:dyDescent="0.3">
      <c r="B80" s="2">
        <v>35500</v>
      </c>
      <c r="C80" s="2">
        <v>7.1000000000000004E-3</v>
      </c>
      <c r="D80" s="2">
        <v>-6.5255150000000005E-16</v>
      </c>
      <c r="E80" s="2">
        <v>0</v>
      </c>
      <c r="F80" s="2">
        <v>5.0665122</v>
      </c>
      <c r="G80" s="2">
        <v>3.6871646999999999</v>
      </c>
      <c r="H80" s="2">
        <v>2.0920439000000002</v>
      </c>
      <c r="I80" s="2">
        <v>0.80967971999999999</v>
      </c>
      <c r="J80" s="2">
        <v>6.1759264E-14</v>
      </c>
      <c r="K80" s="2">
        <v>-195682.94</v>
      </c>
      <c r="L80" s="2">
        <v>-52585.06</v>
      </c>
      <c r="M80" s="2">
        <v>-966.11653000000001</v>
      </c>
      <c r="N80" s="2">
        <v>75.974648999999999</v>
      </c>
      <c r="O80" s="2">
        <v>65.332105999999996</v>
      </c>
      <c r="P80" s="2">
        <v>0</v>
      </c>
      <c r="R80" s="2">
        <f t="shared" si="6"/>
        <v>1.9827573895499999</v>
      </c>
      <c r="S80" s="2">
        <f t="shared" si="4"/>
        <v>0.53281812044999999</v>
      </c>
      <c r="T80" s="2">
        <f t="shared" si="5"/>
        <v>9.789175740225E-3</v>
      </c>
      <c r="U80" s="2">
        <f t="shared" si="7"/>
        <v>9.1908661971830986E-14</v>
      </c>
    </row>
    <row r="81" spans="2:21" x14ac:dyDescent="0.3">
      <c r="B81" s="2">
        <v>36000</v>
      </c>
      <c r="C81" s="2">
        <v>7.1999999999999998E-3</v>
      </c>
      <c r="D81" s="2">
        <v>-6.5255150000000005E-16</v>
      </c>
      <c r="E81" s="2">
        <v>0</v>
      </c>
      <c r="F81" s="2">
        <v>4.9721574999999998</v>
      </c>
      <c r="G81" s="2">
        <v>3.7987709000000001</v>
      </c>
      <c r="H81" s="2">
        <v>2.1703871000000001</v>
      </c>
      <c r="I81" s="2">
        <v>0.85757006999999996</v>
      </c>
      <c r="J81" s="2">
        <v>5.9696247999999995E-14</v>
      </c>
      <c r="K81" s="2">
        <v>-197892.25</v>
      </c>
      <c r="L81" s="2">
        <v>-53788.851000000002</v>
      </c>
      <c r="M81" s="2">
        <v>401.38488999999998</v>
      </c>
      <c r="N81" s="2">
        <v>75.982192999999995</v>
      </c>
      <c r="O81" s="2">
        <v>65.332105999999996</v>
      </c>
      <c r="P81" s="2">
        <v>0</v>
      </c>
      <c r="R81" s="2">
        <f t="shared" si="6"/>
        <v>2.0051432231250002</v>
      </c>
      <c r="S81" s="2">
        <f t="shared" si="4"/>
        <v>0.54501553275750003</v>
      </c>
      <c r="T81" s="2">
        <f t="shared" si="5"/>
        <v>-4.0670323979250002E-3</v>
      </c>
      <c r="U81" s="2">
        <f t="shared" si="7"/>
        <v>9.0632152777777793E-14</v>
      </c>
    </row>
    <row r="82" spans="2:21" x14ac:dyDescent="0.3">
      <c r="B82" s="2">
        <v>36500</v>
      </c>
      <c r="C82" s="2">
        <v>7.3000000000000001E-3</v>
      </c>
      <c r="D82" s="2">
        <v>-6.5255150000000005E-16</v>
      </c>
      <c r="E82" s="2">
        <v>0</v>
      </c>
      <c r="F82" s="2">
        <v>5.0671488</v>
      </c>
      <c r="G82" s="2">
        <v>3.8546789000000001</v>
      </c>
      <c r="H82" s="2">
        <v>2.2167075000000001</v>
      </c>
      <c r="I82" s="2">
        <v>0.85243164000000005</v>
      </c>
      <c r="J82" s="2">
        <v>6.0035310000000001E-14</v>
      </c>
      <c r="K82" s="2">
        <v>-201126.44</v>
      </c>
      <c r="L82" s="2">
        <v>-53949.792000000001</v>
      </c>
      <c r="M82" s="2">
        <v>945.60253</v>
      </c>
      <c r="N82" s="2">
        <v>75.989737000000005</v>
      </c>
      <c r="O82" s="2">
        <v>65.332105999999996</v>
      </c>
      <c r="P82" s="2">
        <v>0</v>
      </c>
      <c r="R82" s="2">
        <f t="shared" si="6"/>
        <v>2.0379136533</v>
      </c>
      <c r="S82" s="2">
        <f t="shared" si="4"/>
        <v>0.54664626744</v>
      </c>
      <c r="T82" s="2">
        <f t="shared" si="5"/>
        <v>-9.581317635225E-3</v>
      </c>
      <c r="U82" s="2">
        <f t="shared" si="7"/>
        <v>8.9390616438356173E-14</v>
      </c>
    </row>
    <row r="83" spans="2:21" x14ac:dyDescent="0.3">
      <c r="B83" s="2">
        <v>37000</v>
      </c>
      <c r="C83" s="2">
        <v>7.4000000000000003E-3</v>
      </c>
      <c r="D83" s="2">
        <v>-6.5255150000000005E-16</v>
      </c>
      <c r="E83" s="2">
        <v>0</v>
      </c>
      <c r="F83" s="2">
        <v>4.9774637000000004</v>
      </c>
      <c r="G83" s="2">
        <v>3.8612430999999998</v>
      </c>
      <c r="H83" s="2">
        <v>2.2248285000000001</v>
      </c>
      <c r="I83" s="2">
        <v>0.86477828000000001</v>
      </c>
      <c r="J83" s="2">
        <v>6.0403237999999998E-14</v>
      </c>
      <c r="K83" s="2">
        <v>-203872.54</v>
      </c>
      <c r="L83" s="2">
        <v>-54716.44</v>
      </c>
      <c r="M83" s="2">
        <v>-187.97272000000001</v>
      </c>
      <c r="N83" s="2">
        <v>75.997281000000001</v>
      </c>
      <c r="O83" s="2">
        <v>65.332105999999996</v>
      </c>
      <c r="P83" s="2">
        <v>0</v>
      </c>
      <c r="R83" s="2">
        <f t="shared" si="6"/>
        <v>2.0657385115500002</v>
      </c>
      <c r="S83" s="2">
        <f t="shared" si="4"/>
        <v>0.55441432830000004</v>
      </c>
      <c r="T83" s="2">
        <f t="shared" si="5"/>
        <v>1.9046335854000002E-3</v>
      </c>
      <c r="U83" s="2">
        <f t="shared" si="7"/>
        <v>8.8182635135135137E-14</v>
      </c>
    </row>
    <row r="84" spans="2:21" x14ac:dyDescent="0.3">
      <c r="B84" s="2">
        <v>37500</v>
      </c>
      <c r="C84" s="2">
        <v>7.4999999999999997E-3</v>
      </c>
      <c r="D84" s="2">
        <v>-6.5255150000000005E-16</v>
      </c>
      <c r="E84" s="2">
        <v>0</v>
      </c>
      <c r="F84" s="2">
        <v>4.9980222000000003</v>
      </c>
      <c r="G84" s="2">
        <v>3.9362791000000001</v>
      </c>
      <c r="H84" s="2">
        <v>2.2813100999999998</v>
      </c>
      <c r="I84" s="2">
        <v>0.88014566000000005</v>
      </c>
      <c r="J84" s="2">
        <v>5.8222981999999997E-14</v>
      </c>
      <c r="K84" s="2">
        <v>-206099.93</v>
      </c>
      <c r="L84" s="2">
        <v>-55888.067000000003</v>
      </c>
      <c r="M84" s="2">
        <v>-1020.3674</v>
      </c>
      <c r="N84" s="2">
        <v>76.004824999999997</v>
      </c>
      <c r="O84" s="2">
        <v>65.332105999999996</v>
      </c>
      <c r="P84" s="2">
        <v>0</v>
      </c>
      <c r="R84" s="2">
        <f t="shared" si="6"/>
        <v>2.0883075407249998</v>
      </c>
      <c r="S84" s="2">
        <f t="shared" si="4"/>
        <v>0.56628583887750006</v>
      </c>
      <c r="T84" s="2">
        <f t="shared" si="5"/>
        <v>1.0338872680499999E-2</v>
      </c>
      <c r="U84" s="2">
        <f t="shared" si="7"/>
        <v>8.7006866666666675E-14</v>
      </c>
    </row>
    <row r="85" spans="2:21" x14ac:dyDescent="0.3">
      <c r="B85" s="2">
        <v>38000</v>
      </c>
      <c r="C85" s="2">
        <v>7.6E-3</v>
      </c>
      <c r="D85" s="2">
        <v>-6.5255150000000005E-16</v>
      </c>
      <c r="E85" s="2">
        <v>0</v>
      </c>
      <c r="F85" s="2">
        <v>5.0166677999999996</v>
      </c>
      <c r="G85" s="2">
        <v>4.0502380999999996</v>
      </c>
      <c r="H85" s="2">
        <v>2.356347</v>
      </c>
      <c r="I85" s="2">
        <v>0.91617716999999999</v>
      </c>
      <c r="J85" s="2">
        <v>5.9557692E-14</v>
      </c>
      <c r="K85" s="2">
        <v>-209156.5</v>
      </c>
      <c r="L85" s="2">
        <v>-56222.605000000003</v>
      </c>
      <c r="M85" s="2">
        <v>-182.88294999999999</v>
      </c>
      <c r="N85" s="2">
        <v>76.012369000000007</v>
      </c>
      <c r="O85" s="2">
        <v>65.332105999999996</v>
      </c>
      <c r="P85" s="2">
        <v>0</v>
      </c>
      <c r="R85" s="2">
        <f t="shared" si="6"/>
        <v>2.11927823625</v>
      </c>
      <c r="S85" s="2">
        <f t="shared" si="4"/>
        <v>0.56967554516250007</v>
      </c>
      <c r="T85" s="2">
        <f t="shared" si="5"/>
        <v>1.853061490875E-3</v>
      </c>
      <c r="U85" s="2">
        <f t="shared" si="7"/>
        <v>8.586203947368422E-14</v>
      </c>
    </row>
    <row r="86" spans="2:21" x14ac:dyDescent="0.3">
      <c r="B86" s="2">
        <v>38500</v>
      </c>
      <c r="C86" s="2">
        <v>7.7000000000000002E-3</v>
      </c>
      <c r="D86" s="2">
        <v>-6.5255150000000005E-16</v>
      </c>
      <c r="E86" s="2">
        <v>0</v>
      </c>
      <c r="F86" s="2">
        <v>5.2649482000000001</v>
      </c>
      <c r="G86" s="2">
        <v>4.1064619000000002</v>
      </c>
      <c r="H86" s="2">
        <v>2.3891106</v>
      </c>
      <c r="I86" s="2">
        <v>0.90114746999999995</v>
      </c>
      <c r="J86" s="2">
        <v>5.8466342999999998E-14</v>
      </c>
      <c r="K86" s="2">
        <v>-212186.29</v>
      </c>
      <c r="L86" s="2">
        <v>-56591.334000000003</v>
      </c>
      <c r="M86" s="2">
        <v>926.85720000000003</v>
      </c>
      <c r="N86" s="2">
        <v>76.019913000000003</v>
      </c>
      <c r="O86" s="2">
        <v>65.332105999999996</v>
      </c>
      <c r="P86" s="2">
        <v>0</v>
      </c>
      <c r="R86" s="2">
        <f t="shared" si="6"/>
        <v>2.1499775834250001</v>
      </c>
      <c r="S86" s="2">
        <f t="shared" si="4"/>
        <v>0.57341169175500006</v>
      </c>
      <c r="T86" s="2">
        <f t="shared" si="5"/>
        <v>-9.3913805790000002E-3</v>
      </c>
      <c r="U86" s="2">
        <f t="shared" si="7"/>
        <v>8.4746948051948055E-14</v>
      </c>
    </row>
    <row r="87" spans="2:21" x14ac:dyDescent="0.3">
      <c r="B87" s="2">
        <v>39000</v>
      </c>
      <c r="C87" s="2">
        <v>7.7999999999999996E-3</v>
      </c>
      <c r="D87" s="2">
        <v>-6.5255150000000005E-16</v>
      </c>
      <c r="E87" s="2">
        <v>0</v>
      </c>
      <c r="F87" s="2">
        <v>5.0355321999999996</v>
      </c>
      <c r="G87" s="2">
        <v>4.1588732000000004</v>
      </c>
      <c r="H87" s="2">
        <v>2.4399022000000001</v>
      </c>
      <c r="I87" s="2">
        <v>0.93833261999999995</v>
      </c>
      <c r="J87" s="2">
        <v>5.9977577999999995E-14</v>
      </c>
      <c r="K87" s="2">
        <v>-214227.48</v>
      </c>
      <c r="L87" s="2">
        <v>-58005.699000000001</v>
      </c>
      <c r="M87" s="2">
        <v>636.96469999999999</v>
      </c>
      <c r="N87" s="2">
        <v>76.027456999999998</v>
      </c>
      <c r="O87" s="2">
        <v>65.332105999999996</v>
      </c>
      <c r="P87" s="2">
        <v>0</v>
      </c>
      <c r="R87" s="2">
        <f t="shared" si="6"/>
        <v>2.1706599411000003</v>
      </c>
      <c r="S87" s="2">
        <f t="shared" si="4"/>
        <v>0.58774274511750002</v>
      </c>
      <c r="T87" s="2">
        <f t="shared" si="5"/>
        <v>-6.45404482275E-3</v>
      </c>
      <c r="U87" s="2">
        <f t="shared" si="7"/>
        <v>8.3660448717948723E-14</v>
      </c>
    </row>
    <row r="88" spans="2:21" x14ac:dyDescent="0.3">
      <c r="B88" s="2">
        <v>39500</v>
      </c>
      <c r="C88" s="2">
        <v>7.9000000000000008E-3</v>
      </c>
      <c r="D88" s="2">
        <v>-6.5255150000000005E-16</v>
      </c>
      <c r="E88" s="2">
        <v>0</v>
      </c>
      <c r="F88" s="2">
        <v>4.8610996999999996</v>
      </c>
      <c r="G88" s="2">
        <v>4.2404384999999998</v>
      </c>
      <c r="H88" s="2">
        <v>2.5144769999999999</v>
      </c>
      <c r="I88" s="2">
        <v>0.97236469999999997</v>
      </c>
      <c r="J88" s="2">
        <v>5.8494542999999995E-14</v>
      </c>
      <c r="K88" s="2">
        <v>-217136.16</v>
      </c>
      <c r="L88" s="2">
        <v>-58503.345000000001</v>
      </c>
      <c r="M88" s="2">
        <v>-634.07241999999997</v>
      </c>
      <c r="N88" s="2">
        <v>76.035000999999994</v>
      </c>
      <c r="O88" s="2">
        <v>65.332105999999996</v>
      </c>
      <c r="P88" s="2">
        <v>0</v>
      </c>
      <c r="R88" s="2">
        <f t="shared" si="6"/>
        <v>2.2001321412000001</v>
      </c>
      <c r="S88" s="2">
        <f t="shared" si="4"/>
        <v>0.59278514321249998</v>
      </c>
      <c r="T88" s="2">
        <f t="shared" si="5"/>
        <v>6.42473879565E-3</v>
      </c>
      <c r="U88" s="2">
        <f t="shared" si="7"/>
        <v>8.2601455696202533E-14</v>
      </c>
    </row>
    <row r="89" spans="2:21" x14ac:dyDescent="0.3">
      <c r="B89" s="2">
        <v>40000</v>
      </c>
      <c r="C89" s="2">
        <v>8.0000000000000002E-3</v>
      </c>
      <c r="D89" s="2">
        <v>-6.5255150000000005E-16</v>
      </c>
      <c r="E89" s="2">
        <v>0</v>
      </c>
      <c r="F89" s="2">
        <v>5.1148287999999997</v>
      </c>
      <c r="G89" s="2">
        <v>4.3470008</v>
      </c>
      <c r="H89" s="2">
        <v>2.5821895000000001</v>
      </c>
      <c r="I89" s="2">
        <v>0.97187984000000005</v>
      </c>
      <c r="J89" s="2">
        <v>5.9228400000000001E-14</v>
      </c>
      <c r="K89" s="2">
        <v>-220331.81</v>
      </c>
      <c r="L89" s="2">
        <v>-58652.663</v>
      </c>
      <c r="M89" s="2">
        <v>-1172.9665</v>
      </c>
      <c r="N89" s="2">
        <v>76.042545000000004</v>
      </c>
      <c r="O89" s="2">
        <v>65.332105999999996</v>
      </c>
      <c r="P89" s="2">
        <v>0</v>
      </c>
      <c r="R89" s="2">
        <f t="shared" si="6"/>
        <v>2.2325120648249999</v>
      </c>
      <c r="S89" s="2">
        <f t="shared" si="4"/>
        <v>0.59429810784750003</v>
      </c>
      <c r="T89" s="2">
        <f t="shared" si="5"/>
        <v>1.1885083061249999E-2</v>
      </c>
      <c r="U89" s="2">
        <f t="shared" si="7"/>
        <v>8.1568937500000005E-14</v>
      </c>
    </row>
    <row r="90" spans="2:21" x14ac:dyDescent="0.3">
      <c r="B90" s="2">
        <v>40500</v>
      </c>
      <c r="C90" s="2">
        <v>8.0999999999999996E-3</v>
      </c>
      <c r="D90" s="2">
        <v>-6.5255150000000005E-16</v>
      </c>
      <c r="E90" s="2">
        <v>0</v>
      </c>
      <c r="F90" s="2">
        <v>4.9027118999999999</v>
      </c>
      <c r="G90" s="2">
        <v>4.3818564000000002</v>
      </c>
      <c r="H90" s="2">
        <v>2.6130013000000001</v>
      </c>
      <c r="I90" s="2">
        <v>1.0088073</v>
      </c>
      <c r="J90" s="2">
        <v>6.0835114999999999E-14</v>
      </c>
      <c r="K90" s="2">
        <v>-222555.37</v>
      </c>
      <c r="L90" s="2">
        <v>-59920.45</v>
      </c>
      <c r="M90" s="2">
        <v>-133.10827</v>
      </c>
      <c r="N90" s="2">
        <v>76.050089</v>
      </c>
      <c r="O90" s="2">
        <v>65.332105999999996</v>
      </c>
      <c r="P90" s="2">
        <v>0</v>
      </c>
      <c r="R90" s="2">
        <f t="shared" si="6"/>
        <v>2.2550422865250002</v>
      </c>
      <c r="S90" s="2">
        <f t="shared" si="4"/>
        <v>0.60714395962500001</v>
      </c>
      <c r="T90" s="2">
        <f t="shared" si="5"/>
        <v>1.348719545775E-3</v>
      </c>
      <c r="U90" s="2">
        <f t="shared" si="7"/>
        <v>8.0561913580246919E-14</v>
      </c>
    </row>
    <row r="91" spans="2:21" x14ac:dyDescent="0.3">
      <c r="B91" s="2">
        <v>41000</v>
      </c>
      <c r="C91" s="2">
        <v>8.2000000000000007E-3</v>
      </c>
      <c r="D91" s="2">
        <v>-6.5255150000000005E-16</v>
      </c>
      <c r="E91" s="2">
        <v>0</v>
      </c>
      <c r="F91" s="2">
        <v>5.0339377000000001</v>
      </c>
      <c r="G91" s="2">
        <v>4.4224869</v>
      </c>
      <c r="H91" s="2">
        <v>2.6311684</v>
      </c>
      <c r="I91" s="2">
        <v>1.0109272</v>
      </c>
      <c r="J91" s="2">
        <v>5.9645621999999996E-14</v>
      </c>
      <c r="K91" s="2">
        <v>-225049.47</v>
      </c>
      <c r="L91" s="2">
        <v>-60878.659</v>
      </c>
      <c r="M91" s="2">
        <v>947.63050999999996</v>
      </c>
      <c r="N91" s="2">
        <v>76.057631999999998</v>
      </c>
      <c r="O91" s="2">
        <v>65.332105999999996</v>
      </c>
      <c r="P91" s="2">
        <v>0</v>
      </c>
      <c r="R91" s="2">
        <f t="shared" si="6"/>
        <v>2.2803137547749999</v>
      </c>
      <c r="S91" s="2">
        <f t="shared" si="4"/>
        <v>0.6168530123175</v>
      </c>
      <c r="T91" s="2">
        <f t="shared" si="5"/>
        <v>-9.6018661425749992E-3</v>
      </c>
      <c r="U91" s="2">
        <f t="shared" si="7"/>
        <v>7.9579451219512189E-14</v>
      </c>
    </row>
    <row r="92" spans="2:21" x14ac:dyDescent="0.3">
      <c r="B92" s="2">
        <v>41500</v>
      </c>
      <c r="C92" s="2">
        <v>8.3000000000000001E-3</v>
      </c>
      <c r="D92" s="2">
        <v>-6.5255150000000005E-16</v>
      </c>
      <c r="E92" s="2">
        <v>0</v>
      </c>
      <c r="F92" s="2">
        <v>4.9320418999999998</v>
      </c>
      <c r="G92" s="2">
        <v>4.522926</v>
      </c>
      <c r="H92" s="2">
        <v>2.7069036</v>
      </c>
      <c r="I92" s="2">
        <v>1.0514277000000001</v>
      </c>
      <c r="J92" s="2">
        <v>5.9795723999999995E-14</v>
      </c>
      <c r="K92" s="2">
        <v>-228327.25</v>
      </c>
      <c r="L92" s="2">
        <v>-61003.94</v>
      </c>
      <c r="M92" s="2">
        <v>882.85086999999999</v>
      </c>
      <c r="N92" s="2">
        <v>76.065175999999994</v>
      </c>
      <c r="O92" s="2">
        <v>65.332105999999996</v>
      </c>
      <c r="P92" s="2">
        <v>0</v>
      </c>
      <c r="R92" s="2">
        <f t="shared" si="6"/>
        <v>2.313525860625</v>
      </c>
      <c r="S92" s="2">
        <f t="shared" si="4"/>
        <v>0.61812242205000001</v>
      </c>
      <c r="T92" s="2">
        <f t="shared" si="5"/>
        <v>-8.9454864402749995E-3</v>
      </c>
      <c r="U92" s="2">
        <f t="shared" si="7"/>
        <v>7.8620662650602421E-14</v>
      </c>
    </row>
    <row r="93" spans="2:21" x14ac:dyDescent="0.3">
      <c r="B93" s="2">
        <v>42000</v>
      </c>
      <c r="C93" s="2">
        <v>8.3999999999999995E-3</v>
      </c>
      <c r="D93" s="2">
        <v>-6.5255150000000005E-16</v>
      </c>
      <c r="E93" s="2">
        <v>0</v>
      </c>
      <c r="F93" s="2">
        <v>5.0301137000000002</v>
      </c>
      <c r="G93" s="2">
        <v>4.6141100000000002</v>
      </c>
      <c r="H93" s="2">
        <v>2.7796457999999999</v>
      </c>
      <c r="I93" s="2">
        <v>1.0546656999999999</v>
      </c>
      <c r="J93" s="2">
        <v>5.7957639000000002E-14</v>
      </c>
      <c r="K93" s="2">
        <v>-230973.36</v>
      </c>
      <c r="L93" s="2">
        <v>-61703.879000000001</v>
      </c>
      <c r="M93" s="2">
        <v>-152.17131000000001</v>
      </c>
      <c r="N93" s="2">
        <v>76.072720000000004</v>
      </c>
      <c r="O93" s="2">
        <v>65.332105999999996</v>
      </c>
      <c r="P93" s="2">
        <v>0</v>
      </c>
      <c r="R93" s="2">
        <f t="shared" si="6"/>
        <v>2.3403375702</v>
      </c>
      <c r="S93" s="2">
        <f t="shared" si="4"/>
        <v>0.62521455396750003</v>
      </c>
      <c r="T93" s="2">
        <f t="shared" si="5"/>
        <v>1.541875798575E-3</v>
      </c>
      <c r="U93" s="2">
        <f t="shared" si="7"/>
        <v>7.7684702380952394E-14</v>
      </c>
    </row>
    <row r="94" spans="2:21" x14ac:dyDescent="0.3">
      <c r="B94" s="2">
        <v>42500</v>
      </c>
      <c r="C94" s="2">
        <v>8.5000000000000006E-3</v>
      </c>
      <c r="D94" s="2">
        <v>-6.5255150000000005E-16</v>
      </c>
      <c r="E94" s="2">
        <v>0</v>
      </c>
      <c r="F94" s="2">
        <v>4.9379359999999997</v>
      </c>
      <c r="G94" s="2">
        <v>4.6582891999999996</v>
      </c>
      <c r="H94" s="2">
        <v>2.8075201999999999</v>
      </c>
      <c r="I94" s="2">
        <v>1.0852605</v>
      </c>
      <c r="J94" s="2">
        <v>6.0311755999999997E-14</v>
      </c>
      <c r="K94" s="2">
        <v>-233143.51</v>
      </c>
      <c r="L94" s="2">
        <v>-63012.673000000003</v>
      </c>
      <c r="M94" s="2">
        <v>-982.57465999999999</v>
      </c>
      <c r="N94" s="2">
        <v>76.080264</v>
      </c>
      <c r="O94" s="2">
        <v>65.332105999999996</v>
      </c>
      <c r="P94" s="2">
        <v>0</v>
      </c>
      <c r="R94" s="2">
        <f t="shared" si="6"/>
        <v>2.3623266150750002</v>
      </c>
      <c r="S94" s="2">
        <f t="shared" si="4"/>
        <v>0.63847590917250008</v>
      </c>
      <c r="T94" s="2">
        <f t="shared" si="5"/>
        <v>9.9559377424500006E-3</v>
      </c>
      <c r="U94" s="2">
        <f t="shared" si="7"/>
        <v>7.6770764705882355E-14</v>
      </c>
    </row>
    <row r="95" spans="2:21" x14ac:dyDescent="0.3">
      <c r="B95" s="2">
        <v>43000</v>
      </c>
      <c r="C95" s="2">
        <v>8.6E-3</v>
      </c>
      <c r="D95" s="2">
        <v>-6.5255150000000005E-16</v>
      </c>
      <c r="E95" s="2">
        <v>0</v>
      </c>
      <c r="F95" s="2">
        <v>5.0047359</v>
      </c>
      <c r="G95" s="2">
        <v>4.7031421</v>
      </c>
      <c r="H95" s="2">
        <v>2.8471601999999998</v>
      </c>
      <c r="I95" s="2">
        <v>1.0801177</v>
      </c>
      <c r="J95" s="2">
        <v>5.9100057999999998E-14</v>
      </c>
      <c r="K95" s="2">
        <v>-236173.99</v>
      </c>
      <c r="L95" s="2">
        <v>-63385.41</v>
      </c>
      <c r="M95" s="2">
        <v>-729.87557000000004</v>
      </c>
      <c r="N95" s="2">
        <v>76.087807999999995</v>
      </c>
      <c r="O95" s="2">
        <v>65.332105999999996</v>
      </c>
      <c r="P95" s="2">
        <v>0</v>
      </c>
      <c r="R95" s="2">
        <f t="shared" si="6"/>
        <v>2.3930329536749997</v>
      </c>
      <c r="S95" s="2">
        <f t="shared" si="4"/>
        <v>0.64225266682500004</v>
      </c>
      <c r="T95" s="2">
        <f t="shared" si="5"/>
        <v>7.3954642130250004E-3</v>
      </c>
      <c r="U95" s="2">
        <f t="shared" si="7"/>
        <v>7.5878081395348837E-14</v>
      </c>
    </row>
    <row r="96" spans="2:21" x14ac:dyDescent="0.3">
      <c r="B96" s="2">
        <v>43500</v>
      </c>
      <c r="C96" s="2">
        <v>8.6999999999999994E-3</v>
      </c>
      <c r="D96" s="2">
        <v>-6.5255150000000005E-16</v>
      </c>
      <c r="E96" s="2">
        <v>0</v>
      </c>
      <c r="F96" s="2">
        <v>5.0897725999999999</v>
      </c>
      <c r="G96" s="2">
        <v>4.7754507000000004</v>
      </c>
      <c r="H96" s="2">
        <v>2.9092589000000002</v>
      </c>
      <c r="I96" s="2">
        <v>1.0771447000000001</v>
      </c>
      <c r="J96" s="2">
        <v>6.0706107000000001E-14</v>
      </c>
      <c r="K96" s="2">
        <v>-239255.67999999999</v>
      </c>
      <c r="L96" s="2">
        <v>-63669.608</v>
      </c>
      <c r="M96" s="2">
        <v>255.80665999999999</v>
      </c>
      <c r="N96" s="2">
        <v>76.095352000000005</v>
      </c>
      <c r="O96" s="2">
        <v>65.332105999999996</v>
      </c>
      <c r="P96" s="2">
        <v>0</v>
      </c>
      <c r="R96" s="2">
        <f t="shared" si="6"/>
        <v>2.4242581776000001</v>
      </c>
      <c r="S96" s="2">
        <f t="shared" si="4"/>
        <v>0.64513230306000002</v>
      </c>
      <c r="T96" s="2">
        <f t="shared" si="5"/>
        <v>-2.5919609824499997E-3</v>
      </c>
      <c r="U96" s="2">
        <f t="shared" si="7"/>
        <v>7.5005919540229893E-14</v>
      </c>
    </row>
    <row r="97" spans="2:21" x14ac:dyDescent="0.3">
      <c r="B97" s="2">
        <v>44000</v>
      </c>
      <c r="C97" s="2">
        <v>8.8000000000000005E-3</v>
      </c>
      <c r="D97" s="2">
        <v>-6.5255150000000005E-16</v>
      </c>
      <c r="E97" s="2">
        <v>0</v>
      </c>
      <c r="F97" s="2">
        <v>5.1136131000000002</v>
      </c>
      <c r="G97" s="2">
        <v>4.8573344000000001</v>
      </c>
      <c r="H97" s="2">
        <v>2.9394445</v>
      </c>
      <c r="I97" s="2">
        <v>1.1251469999999999</v>
      </c>
      <c r="J97" s="2">
        <v>6.1627147999999994E-14</v>
      </c>
      <c r="K97" s="2">
        <v>-241605.83</v>
      </c>
      <c r="L97" s="2">
        <v>-64793.578000000001</v>
      </c>
      <c r="M97" s="2">
        <v>1024.6007</v>
      </c>
      <c r="N97" s="2">
        <v>76.102896000000001</v>
      </c>
      <c r="O97" s="2">
        <v>65.332105999999996</v>
      </c>
      <c r="P97" s="2">
        <v>0</v>
      </c>
      <c r="R97" s="2">
        <f t="shared" si="6"/>
        <v>2.4480710724749999</v>
      </c>
      <c r="S97" s="2">
        <f t="shared" si="4"/>
        <v>0.65652092908500004</v>
      </c>
      <c r="T97" s="2">
        <f t="shared" si="5"/>
        <v>-1.0381766592749999E-2</v>
      </c>
      <c r="U97" s="2">
        <f t="shared" si="7"/>
        <v>7.4153579545454551E-14</v>
      </c>
    </row>
    <row r="98" spans="2:21" x14ac:dyDescent="0.3">
      <c r="B98" s="2">
        <v>44500</v>
      </c>
      <c r="C98" s="2">
        <v>8.8999999999999999E-3</v>
      </c>
      <c r="D98" s="2">
        <v>-6.5255150000000005E-16</v>
      </c>
      <c r="E98" s="2">
        <v>0</v>
      </c>
      <c r="F98" s="2">
        <v>5.1571015999999998</v>
      </c>
      <c r="G98" s="2">
        <v>4.9478571000000002</v>
      </c>
      <c r="H98" s="2">
        <v>3.0192844000000001</v>
      </c>
      <c r="I98" s="2">
        <v>1.1290879</v>
      </c>
      <c r="J98" s="2">
        <v>6.1084471E-14</v>
      </c>
      <c r="K98" s="2">
        <v>-243960.4</v>
      </c>
      <c r="L98" s="2">
        <v>-65767.837</v>
      </c>
      <c r="M98" s="2">
        <v>867.11782000000005</v>
      </c>
      <c r="N98" s="2">
        <v>76.110439999999997</v>
      </c>
      <c r="O98" s="2">
        <v>65.332105999999996</v>
      </c>
      <c r="P98" s="2">
        <v>0</v>
      </c>
      <c r="R98" s="2">
        <f t="shared" si="6"/>
        <v>2.4719287529999998</v>
      </c>
      <c r="S98" s="2">
        <f t="shared" si="4"/>
        <v>0.66639260840250003</v>
      </c>
      <c r="T98" s="2">
        <f t="shared" si="5"/>
        <v>-8.7860713111500011E-3</v>
      </c>
      <c r="U98" s="2">
        <f t="shared" si="7"/>
        <v>7.3320393258426979E-14</v>
      </c>
    </row>
    <row r="99" spans="2:21" x14ac:dyDescent="0.3">
      <c r="B99" s="2">
        <v>45000</v>
      </c>
      <c r="C99" s="2">
        <v>8.9999999999999993E-3</v>
      </c>
      <c r="D99" s="2">
        <v>-6.5255150000000005E-16</v>
      </c>
      <c r="E99" s="2">
        <v>0</v>
      </c>
      <c r="F99" s="2">
        <v>5.1379409000000003</v>
      </c>
      <c r="G99" s="2">
        <v>5.0652387000000001</v>
      </c>
      <c r="H99" s="2">
        <v>3.0912513000000001</v>
      </c>
      <c r="I99" s="2">
        <v>1.177473</v>
      </c>
      <c r="J99" s="2">
        <v>6.1099791999999999E-14</v>
      </c>
      <c r="K99" s="2">
        <v>-247042.76</v>
      </c>
      <c r="L99" s="2">
        <v>-66089.798999999999</v>
      </c>
      <c r="M99" s="2">
        <v>16.626418000000001</v>
      </c>
      <c r="N99" s="2">
        <v>76.117984000000007</v>
      </c>
      <c r="O99" s="2">
        <v>65.332105999999996</v>
      </c>
      <c r="P99" s="2">
        <v>0</v>
      </c>
      <c r="R99" s="2">
        <f t="shared" si="6"/>
        <v>2.5031607657000001</v>
      </c>
      <c r="S99" s="2">
        <f t="shared" si="4"/>
        <v>0.66965488836749998</v>
      </c>
      <c r="T99" s="2">
        <f t="shared" si="5"/>
        <v>-1.6846718038500001E-4</v>
      </c>
      <c r="U99" s="2">
        <f t="shared" si="7"/>
        <v>7.2505722222222229E-14</v>
      </c>
    </row>
    <row r="100" spans="2:21" x14ac:dyDescent="0.3">
      <c r="B100" s="2">
        <v>45500</v>
      </c>
      <c r="C100" s="2">
        <v>9.1000000000000004E-3</v>
      </c>
      <c r="D100" s="2">
        <v>-6.5255150000000005E-16</v>
      </c>
      <c r="E100" s="2">
        <v>0</v>
      </c>
      <c r="F100" s="2">
        <v>5.2580610999999999</v>
      </c>
      <c r="G100" s="2">
        <v>5.1239451999999996</v>
      </c>
      <c r="H100" s="2">
        <v>3.1551056000000002</v>
      </c>
      <c r="I100" s="2">
        <v>1.1537033999999999</v>
      </c>
      <c r="J100" s="2">
        <v>6.0659477000000003E-14</v>
      </c>
      <c r="K100" s="2">
        <v>-249931.51</v>
      </c>
      <c r="L100" s="2">
        <v>-66529.903000000006</v>
      </c>
      <c r="M100" s="2">
        <v>-852.02324999999996</v>
      </c>
      <c r="N100" s="2">
        <v>76.125528000000003</v>
      </c>
      <c r="O100" s="2">
        <v>65.332105999999996</v>
      </c>
      <c r="P100" s="2">
        <v>0</v>
      </c>
      <c r="R100" s="2">
        <f t="shared" si="6"/>
        <v>2.5324310250750002</v>
      </c>
      <c r="S100" s="2">
        <f t="shared" si="4"/>
        <v>0.67411424214750004</v>
      </c>
      <c r="T100" s="2">
        <f t="shared" si="5"/>
        <v>8.6331255806249996E-3</v>
      </c>
      <c r="U100" s="2">
        <f t="shared" si="7"/>
        <v>7.170895604395604E-14</v>
      </c>
    </row>
    <row r="101" spans="2:21" x14ac:dyDescent="0.3">
      <c r="B101" s="2">
        <v>46000</v>
      </c>
      <c r="C101" s="2">
        <v>9.1999999999999998E-3</v>
      </c>
      <c r="D101" s="2">
        <v>-6.5255150000000005E-16</v>
      </c>
      <c r="E101" s="2">
        <v>0</v>
      </c>
      <c r="F101" s="2">
        <v>4.8977532999999998</v>
      </c>
      <c r="G101" s="2">
        <v>5.1670395999999998</v>
      </c>
      <c r="H101" s="2">
        <v>3.2076020999999999</v>
      </c>
      <c r="I101" s="2">
        <v>1.2001584000000001</v>
      </c>
      <c r="J101" s="2">
        <v>5.7967630999999995E-14</v>
      </c>
      <c r="K101" s="2">
        <v>-252275.95</v>
      </c>
      <c r="L101" s="2">
        <v>-67660.562000000005</v>
      </c>
      <c r="M101" s="2">
        <v>-1095.5709999999999</v>
      </c>
      <c r="N101" s="2">
        <v>76.133071000000001</v>
      </c>
      <c r="O101" s="2">
        <v>65.332105999999996</v>
      </c>
      <c r="P101" s="2">
        <v>0</v>
      </c>
      <c r="R101" s="2">
        <f t="shared" si="6"/>
        <v>2.5561860633750002</v>
      </c>
      <c r="S101" s="2">
        <f t="shared" si="4"/>
        <v>0.68557064446500005</v>
      </c>
      <c r="T101" s="2">
        <f t="shared" si="5"/>
        <v>1.11008731575E-2</v>
      </c>
      <c r="U101" s="2">
        <f t="shared" si="7"/>
        <v>7.0929510869565219E-14</v>
      </c>
    </row>
    <row r="102" spans="2:21" x14ac:dyDescent="0.3">
      <c r="B102" s="2">
        <v>46500</v>
      </c>
      <c r="C102" s="2">
        <v>9.2999999999999992E-3</v>
      </c>
      <c r="D102" s="2">
        <v>-6.5255150000000005E-16</v>
      </c>
      <c r="E102" s="2">
        <v>0</v>
      </c>
      <c r="F102" s="2">
        <v>4.9688480999999998</v>
      </c>
      <c r="G102" s="2">
        <v>5.2474740999999998</v>
      </c>
      <c r="H102" s="2">
        <v>3.2510093000000002</v>
      </c>
      <c r="I102" s="2">
        <v>1.2261641000000001</v>
      </c>
      <c r="J102" s="2">
        <v>5.7893246000000002E-14</v>
      </c>
      <c r="K102" s="2">
        <v>-254760.36</v>
      </c>
      <c r="L102" s="2">
        <v>-68594.774000000005</v>
      </c>
      <c r="M102" s="2">
        <v>-528.67767000000003</v>
      </c>
      <c r="N102" s="2">
        <v>76.140614999999997</v>
      </c>
      <c r="O102" s="2">
        <v>65.332105999999996</v>
      </c>
      <c r="P102" s="2">
        <v>0</v>
      </c>
      <c r="R102" s="2">
        <f t="shared" si="6"/>
        <v>2.5813593476999999</v>
      </c>
      <c r="S102" s="2">
        <f t="shared" si="4"/>
        <v>0.69503654755499999</v>
      </c>
      <c r="T102" s="2">
        <f t="shared" si="5"/>
        <v>5.3568264912750001E-3</v>
      </c>
      <c r="U102" s="2">
        <f t="shared" si="7"/>
        <v>7.0166827956989255E-14</v>
      </c>
    </row>
    <row r="103" spans="2:21" x14ac:dyDescent="0.3">
      <c r="B103" s="2">
        <v>47000</v>
      </c>
      <c r="C103" s="2">
        <v>9.4000000000000004E-3</v>
      </c>
      <c r="D103" s="2">
        <v>-6.5255150000000005E-16</v>
      </c>
      <c r="E103" s="2">
        <v>0</v>
      </c>
      <c r="F103" s="2">
        <v>4.8643127000000002</v>
      </c>
      <c r="G103" s="2">
        <v>5.3334590000000004</v>
      </c>
      <c r="H103" s="2">
        <v>3.3313028999999998</v>
      </c>
      <c r="I103" s="2">
        <v>1.2480612</v>
      </c>
      <c r="J103" s="2">
        <v>6.0158989000000005E-14</v>
      </c>
      <c r="K103" s="2">
        <v>-257958.54</v>
      </c>
      <c r="L103" s="2">
        <v>-68759.320999999996</v>
      </c>
      <c r="M103" s="2">
        <v>320.88484</v>
      </c>
      <c r="N103" s="2">
        <v>76.148159000000007</v>
      </c>
      <c r="O103" s="2">
        <v>65.332105999999996</v>
      </c>
      <c r="P103" s="2">
        <v>0</v>
      </c>
      <c r="R103" s="2">
        <f t="shared" si="6"/>
        <v>2.6137649065500002</v>
      </c>
      <c r="S103" s="2">
        <f t="shared" si="4"/>
        <v>0.69670382003249998</v>
      </c>
      <c r="T103" s="2">
        <f t="shared" si="5"/>
        <v>-3.2513656413000001E-3</v>
      </c>
      <c r="U103" s="2">
        <f t="shared" si="7"/>
        <v>6.9420372340425532E-14</v>
      </c>
    </row>
    <row r="104" spans="2:21" x14ac:dyDescent="0.3">
      <c r="B104" s="2">
        <v>47500</v>
      </c>
      <c r="C104" s="2">
        <v>9.4999999999999998E-3</v>
      </c>
      <c r="D104" s="2">
        <v>-6.5255150000000005E-16</v>
      </c>
      <c r="E104" s="2">
        <v>0</v>
      </c>
      <c r="F104" s="2">
        <v>5.1296242000000003</v>
      </c>
      <c r="G104" s="2">
        <v>5.4328503000000001</v>
      </c>
      <c r="H104" s="2">
        <v>3.3860826999999998</v>
      </c>
      <c r="I104" s="2">
        <v>1.2515423999999999</v>
      </c>
      <c r="J104" s="2">
        <v>5.6292970000000001E-14</v>
      </c>
      <c r="K104" s="2">
        <v>-260775.86</v>
      </c>
      <c r="L104" s="2">
        <v>-69297.815000000002</v>
      </c>
      <c r="M104" s="2">
        <v>964.47443999999996</v>
      </c>
      <c r="N104" s="2">
        <v>76.155703000000003</v>
      </c>
      <c r="O104" s="2">
        <v>65.332105999999996</v>
      </c>
      <c r="P104" s="2">
        <v>0</v>
      </c>
      <c r="R104" s="2">
        <f t="shared" si="6"/>
        <v>2.6423114014499998</v>
      </c>
      <c r="S104" s="2">
        <f t="shared" si="4"/>
        <v>0.70216011048750004</v>
      </c>
      <c r="T104" s="2">
        <f t="shared" si="5"/>
        <v>-9.7725372632999994E-3</v>
      </c>
      <c r="U104" s="2">
        <f t="shared" si="7"/>
        <v>6.8689631578947371E-14</v>
      </c>
    </row>
    <row r="105" spans="2:21" x14ac:dyDescent="0.3">
      <c r="B105" s="2">
        <v>48000</v>
      </c>
      <c r="C105" s="2">
        <v>9.5999999999999992E-3</v>
      </c>
      <c r="D105" s="2">
        <v>-6.5255150000000005E-16</v>
      </c>
      <c r="E105" s="2">
        <v>0</v>
      </c>
      <c r="F105" s="2">
        <v>5.0870923000000001</v>
      </c>
      <c r="G105" s="2">
        <v>5.5390467000000001</v>
      </c>
      <c r="H105" s="2">
        <v>3.4492326000000002</v>
      </c>
      <c r="I105" s="2">
        <v>1.3011824999999999</v>
      </c>
      <c r="J105" s="2">
        <v>6.0058846999999998E-14</v>
      </c>
      <c r="K105" s="2">
        <v>-262845.81</v>
      </c>
      <c r="L105" s="2">
        <v>-70644.803</v>
      </c>
      <c r="M105" s="2">
        <v>1064.4437</v>
      </c>
      <c r="N105" s="2">
        <v>76.163246999999998</v>
      </c>
      <c r="O105" s="2">
        <v>65.332105999999996</v>
      </c>
      <c r="P105" s="2">
        <v>0</v>
      </c>
      <c r="R105" s="2">
        <f t="shared" si="6"/>
        <v>2.663285169825</v>
      </c>
      <c r="S105" s="2">
        <f t="shared" si="4"/>
        <v>0.71580846639749995</v>
      </c>
      <c r="T105" s="2">
        <f t="shared" si="5"/>
        <v>-1.078547579025E-2</v>
      </c>
      <c r="U105" s="2">
        <f t="shared" si="7"/>
        <v>6.7974114583333348E-14</v>
      </c>
    </row>
    <row r="106" spans="2:21" x14ac:dyDescent="0.3">
      <c r="B106" s="2">
        <v>48500</v>
      </c>
      <c r="C106" s="2">
        <v>9.7000000000000003E-3</v>
      </c>
      <c r="D106" s="2">
        <v>-6.5255150000000005E-16</v>
      </c>
      <c r="E106" s="2">
        <v>0</v>
      </c>
      <c r="F106" s="2">
        <v>5.3844551000000003</v>
      </c>
      <c r="G106" s="2">
        <v>5.6199602999999998</v>
      </c>
      <c r="H106" s="2">
        <v>3.4696201000000002</v>
      </c>
      <c r="I106" s="2">
        <v>1.3156097</v>
      </c>
      <c r="J106" s="2">
        <v>6.0087046000000001E-14</v>
      </c>
      <c r="K106" s="2">
        <v>-265468.89</v>
      </c>
      <c r="L106" s="2">
        <v>-71457.509000000005</v>
      </c>
      <c r="M106" s="2">
        <v>520.23288000000002</v>
      </c>
      <c r="N106" s="2">
        <v>76.170790999999994</v>
      </c>
      <c r="O106" s="2">
        <v>65.332105999999996</v>
      </c>
      <c r="P106" s="2">
        <v>0</v>
      </c>
      <c r="R106" s="2">
        <f t="shared" si="6"/>
        <v>2.6898635279250001</v>
      </c>
      <c r="S106" s="2">
        <f t="shared" si="4"/>
        <v>0.72404320994250004</v>
      </c>
      <c r="T106" s="2">
        <f t="shared" si="5"/>
        <v>-5.2712596566000004E-3</v>
      </c>
      <c r="U106" s="2">
        <f t="shared" si="7"/>
        <v>6.727335051546392E-14</v>
      </c>
    </row>
    <row r="107" spans="2:21" x14ac:dyDescent="0.3">
      <c r="B107" s="2">
        <v>49000</v>
      </c>
      <c r="C107" s="2">
        <v>9.7999999999999997E-3</v>
      </c>
      <c r="D107" s="2">
        <v>-6.5255150000000005E-16</v>
      </c>
      <c r="E107" s="2">
        <v>0</v>
      </c>
      <c r="F107" s="2">
        <v>4.7971019000000004</v>
      </c>
      <c r="G107" s="2">
        <v>5.6424991000000002</v>
      </c>
      <c r="H107" s="2">
        <v>3.5599962000000001</v>
      </c>
      <c r="I107" s="2">
        <v>1.3388274</v>
      </c>
      <c r="J107" s="2">
        <v>6.1227689999999994E-14</v>
      </c>
      <c r="K107" s="2">
        <v>-268755.87</v>
      </c>
      <c r="L107" s="2">
        <v>-71555.281000000003</v>
      </c>
      <c r="M107" s="2">
        <v>-239.91990000000001</v>
      </c>
      <c r="N107" s="2">
        <v>76.178335000000004</v>
      </c>
      <c r="O107" s="2">
        <v>65.332105999999996</v>
      </c>
      <c r="P107" s="2">
        <v>0</v>
      </c>
      <c r="R107" s="2">
        <f t="shared" si="6"/>
        <v>2.7231688527749998</v>
      </c>
      <c r="S107" s="2">
        <f t="shared" si="4"/>
        <v>0.72503388473250008</v>
      </c>
      <c r="T107" s="2">
        <f t="shared" si="5"/>
        <v>2.4309883867500003E-3</v>
      </c>
      <c r="U107" s="2">
        <f t="shared" si="7"/>
        <v>6.6586887755102047E-14</v>
      </c>
    </row>
    <row r="108" spans="2:21" x14ac:dyDescent="0.3">
      <c r="B108" s="2">
        <v>49500</v>
      </c>
      <c r="C108" s="2">
        <v>9.9000000000000008E-3</v>
      </c>
      <c r="D108" s="2">
        <v>-6.5255150000000005E-16</v>
      </c>
      <c r="E108" s="2">
        <v>0</v>
      </c>
      <c r="F108" s="2">
        <v>5.1547564000000001</v>
      </c>
      <c r="G108" s="2">
        <v>5.7067490999999997</v>
      </c>
      <c r="H108" s="2">
        <v>3.5996066999999998</v>
      </c>
      <c r="I108" s="2">
        <v>1.3080210999999999</v>
      </c>
      <c r="J108" s="2">
        <v>6.0685013E-14</v>
      </c>
      <c r="K108" s="2">
        <v>-271487.21000000002</v>
      </c>
      <c r="L108" s="2">
        <v>-72170.922999999995</v>
      </c>
      <c r="M108" s="2">
        <v>-769.87474999999995</v>
      </c>
      <c r="N108" s="2">
        <v>76.185879</v>
      </c>
      <c r="O108" s="2">
        <v>65.332105999999996</v>
      </c>
      <c r="P108" s="2">
        <v>0</v>
      </c>
      <c r="R108" s="2">
        <f t="shared" si="6"/>
        <v>2.7508441553250003</v>
      </c>
      <c r="S108" s="2">
        <f t="shared" si="4"/>
        <v>0.73127187729749998</v>
      </c>
      <c r="T108" s="2">
        <f t="shared" si="5"/>
        <v>7.8007559043749997E-3</v>
      </c>
      <c r="U108" s="2">
        <f t="shared" si="7"/>
        <v>6.591429292929293E-14</v>
      </c>
    </row>
    <row r="109" spans="2:21" x14ac:dyDescent="0.3">
      <c r="B109" s="2">
        <v>50000</v>
      </c>
      <c r="C109" s="2">
        <v>0.01</v>
      </c>
      <c r="D109" s="2">
        <v>-6.5255150000000005E-16</v>
      </c>
      <c r="E109" s="2">
        <v>0</v>
      </c>
      <c r="F109" s="2">
        <v>4.7421823999999999</v>
      </c>
      <c r="G109" s="2">
        <v>5.8255444000000001</v>
      </c>
      <c r="H109" s="2">
        <v>3.7160997999999998</v>
      </c>
      <c r="I109" s="2">
        <v>1.3742829999999999</v>
      </c>
      <c r="J109" s="2">
        <v>5.8790528000000001E-14</v>
      </c>
      <c r="K109" s="2">
        <v>-273749.31</v>
      </c>
      <c r="L109" s="2">
        <v>-73264.676000000007</v>
      </c>
      <c r="M109" s="2">
        <v>-1044.2871</v>
      </c>
      <c r="N109" s="2">
        <v>76.193422999999996</v>
      </c>
      <c r="O109" s="2">
        <v>65.332105999999996</v>
      </c>
      <c r="P109" s="2">
        <v>0</v>
      </c>
      <c r="R109" s="2">
        <f t="shared" si="6"/>
        <v>2.7737648835750002</v>
      </c>
      <c r="S109" s="2">
        <f t="shared" si="4"/>
        <v>0.74235432957000003</v>
      </c>
      <c r="T109" s="2">
        <f t="shared" si="5"/>
        <v>1.058123904075E-2</v>
      </c>
      <c r="U109" s="2">
        <f t="shared" si="7"/>
        <v>6.5255150000000006E-14</v>
      </c>
    </row>
    <row r="110" spans="2:21" x14ac:dyDescent="0.3">
      <c r="R110" s="2">
        <f t="shared" si="6"/>
        <v>0</v>
      </c>
      <c r="S110" s="2">
        <f t="shared" si="4"/>
        <v>0</v>
      </c>
      <c r="T110" s="2">
        <f t="shared" si="5"/>
        <v>0</v>
      </c>
      <c r="U110" s="2" t="e">
        <f t="shared" si="7"/>
        <v>#DIV/0!</v>
      </c>
    </row>
    <row r="111" spans="2:21" x14ac:dyDescent="0.3">
      <c r="B111" s="2">
        <v>51000</v>
      </c>
      <c r="C111" s="2">
        <v>1.0200000000000001E-2</v>
      </c>
      <c r="D111" s="2">
        <v>-2.7228905000000001E-3</v>
      </c>
      <c r="E111" s="2">
        <v>0</v>
      </c>
      <c r="F111" s="2">
        <v>0.99499397999999994</v>
      </c>
      <c r="G111" s="2">
        <v>4.4093109999999998</v>
      </c>
      <c r="H111" s="2">
        <v>2.3865338</v>
      </c>
      <c r="I111" s="2">
        <v>1.8685273</v>
      </c>
      <c r="J111" s="2">
        <v>6.1793458999999997E-14</v>
      </c>
      <c r="K111" s="2">
        <v>-260554.26</v>
      </c>
      <c r="L111" s="2">
        <v>-622.68547999999998</v>
      </c>
      <c r="M111" s="2">
        <v>443.37401</v>
      </c>
      <c r="N111" s="2">
        <v>76.207465999999997</v>
      </c>
      <c r="O111" s="2">
        <v>65.153329999999997</v>
      </c>
      <c r="P111" s="2">
        <v>0</v>
      </c>
      <c r="R111" s="2">
        <f t="shared" si="6"/>
        <v>2.6400660394500002</v>
      </c>
      <c r="S111" s="2">
        <f t="shared" si="4"/>
        <v>6.3093606260999999E-3</v>
      </c>
      <c r="T111" s="2">
        <f t="shared" si="5"/>
        <v>-4.4924871563249997E-3</v>
      </c>
      <c r="U111" s="2">
        <f t="shared" si="7"/>
        <v>0.26695004901960784</v>
      </c>
    </row>
    <row r="112" spans="2:21" x14ac:dyDescent="0.3">
      <c r="B112" s="2">
        <v>51500</v>
      </c>
      <c r="C112" s="2">
        <v>1.03E-2</v>
      </c>
      <c r="D112" s="2">
        <v>-2.7318123999999998E-3</v>
      </c>
      <c r="E112" s="2">
        <v>0</v>
      </c>
      <c r="F112" s="2">
        <v>1.0633642000000001</v>
      </c>
      <c r="G112" s="2">
        <v>4.4912162000000002</v>
      </c>
      <c r="H112" s="2">
        <v>2.4317758</v>
      </c>
      <c r="I112" s="2">
        <v>1.8945913000000001</v>
      </c>
      <c r="J112" s="2">
        <v>5.9604321000000004E-14</v>
      </c>
      <c r="K112" s="2">
        <v>-263135.71999999997</v>
      </c>
      <c r="L112" s="2">
        <v>-1157.4846</v>
      </c>
      <c r="M112" s="2">
        <v>365.35081000000002</v>
      </c>
      <c r="N112" s="2">
        <v>76.215010000000007</v>
      </c>
      <c r="O112" s="2">
        <v>65.152748000000003</v>
      </c>
      <c r="P112" s="2">
        <v>0</v>
      </c>
      <c r="R112" s="2">
        <f t="shared" si="6"/>
        <v>2.6662226828999995</v>
      </c>
      <c r="S112" s="2">
        <f t="shared" si="4"/>
        <v>1.17282127095E-2</v>
      </c>
      <c r="T112" s="2">
        <f t="shared" si="5"/>
        <v>-3.7019170823250004E-3</v>
      </c>
      <c r="U112" s="2">
        <f t="shared" si="7"/>
        <v>0.26522450485436894</v>
      </c>
    </row>
    <row r="113" spans="2:21" x14ac:dyDescent="0.3">
      <c r="B113" s="2">
        <v>52000</v>
      </c>
      <c r="C113" s="2">
        <v>1.04E-2</v>
      </c>
      <c r="D113" s="2">
        <v>-2.86119E-3</v>
      </c>
      <c r="E113" s="2">
        <v>0</v>
      </c>
      <c r="F113" s="2">
        <v>0.98838577999999999</v>
      </c>
      <c r="G113" s="2">
        <v>4.5674146999999996</v>
      </c>
      <c r="H113" s="2">
        <v>2.4477597000000002</v>
      </c>
      <c r="I113" s="2">
        <v>1.9664295000000001</v>
      </c>
      <c r="J113" s="2">
        <v>6.0117021999999994E-14</v>
      </c>
      <c r="K113" s="2">
        <v>-264901.28999999998</v>
      </c>
      <c r="L113" s="2">
        <v>1603.0107</v>
      </c>
      <c r="M113" s="2">
        <v>-142.04463000000001</v>
      </c>
      <c r="N113" s="2">
        <v>76.222554000000002</v>
      </c>
      <c r="O113" s="2">
        <v>65.144295</v>
      </c>
      <c r="P113" s="2">
        <v>0</v>
      </c>
      <c r="R113" s="2">
        <f t="shared" si="6"/>
        <v>2.6841123209249997</v>
      </c>
      <c r="S113" s="2">
        <f t="shared" si="4"/>
        <v>-1.6242505917750002E-2</v>
      </c>
      <c r="T113" s="2">
        <f t="shared" si="5"/>
        <v>1.4392672134750002E-3</v>
      </c>
      <c r="U113" s="2">
        <f t="shared" si="7"/>
        <v>0.27511442307692308</v>
      </c>
    </row>
    <row r="114" spans="2:21" x14ac:dyDescent="0.3">
      <c r="B114" s="2">
        <v>52500</v>
      </c>
      <c r="C114" s="2">
        <v>1.0500000000000001E-2</v>
      </c>
      <c r="D114" s="2">
        <v>-2.8301829E-3</v>
      </c>
      <c r="E114" s="2">
        <v>0</v>
      </c>
      <c r="F114" s="2">
        <v>0.99645952000000004</v>
      </c>
      <c r="G114" s="2">
        <v>4.6510287999999997</v>
      </c>
      <c r="H114" s="2">
        <v>2.5024848999999998</v>
      </c>
      <c r="I114" s="2">
        <v>1.9940667999999999</v>
      </c>
      <c r="J114" s="2">
        <v>5.9715122000000004E-14</v>
      </c>
      <c r="K114" s="2">
        <v>-267574.90999999997</v>
      </c>
      <c r="L114" s="2">
        <v>-229.64013</v>
      </c>
      <c r="M114" s="2">
        <v>-476.24666000000002</v>
      </c>
      <c r="N114" s="2">
        <v>76.230097999999998</v>
      </c>
      <c r="O114" s="2">
        <v>65.146321</v>
      </c>
      <c r="P114" s="2">
        <v>0</v>
      </c>
      <c r="R114" s="2">
        <f t="shared" si="6"/>
        <v>2.7112027755749999</v>
      </c>
      <c r="S114" s="2">
        <f t="shared" si="4"/>
        <v>2.3268286172249998E-3</v>
      </c>
      <c r="T114" s="2">
        <f t="shared" si="5"/>
        <v>4.8255692824500001E-3</v>
      </c>
      <c r="U114" s="2">
        <f t="shared" si="7"/>
        <v>0.26954122857142854</v>
      </c>
    </row>
    <row r="115" spans="2:21" x14ac:dyDescent="0.3">
      <c r="B115" s="2">
        <v>53000</v>
      </c>
      <c r="C115" s="2">
        <v>1.06E-2</v>
      </c>
      <c r="D115" s="2">
        <v>-2.8151167000000001E-3</v>
      </c>
      <c r="E115" s="2">
        <v>0</v>
      </c>
      <c r="F115" s="2">
        <v>1.0282983000000001</v>
      </c>
      <c r="G115" s="2">
        <v>4.7378586</v>
      </c>
      <c r="H115" s="2">
        <v>2.5714891999999998</v>
      </c>
      <c r="I115" s="2">
        <v>2.0069564</v>
      </c>
      <c r="J115" s="2">
        <v>6.2003513000000006E-14</v>
      </c>
      <c r="K115" s="2">
        <v>-270561.2</v>
      </c>
      <c r="L115" s="2">
        <v>-1145.876</v>
      </c>
      <c r="M115" s="2">
        <v>-293.59552000000002</v>
      </c>
      <c r="N115" s="2">
        <v>76.237641999999994</v>
      </c>
      <c r="O115" s="2">
        <v>65.147305000000003</v>
      </c>
      <c r="P115" s="2">
        <v>0</v>
      </c>
      <c r="R115" s="2">
        <f t="shared" si="6"/>
        <v>2.7414613590000001</v>
      </c>
      <c r="S115" s="2">
        <f t="shared" si="4"/>
        <v>1.161058857E-2</v>
      </c>
      <c r="T115" s="2">
        <f t="shared" si="5"/>
        <v>2.9748566064000002E-3</v>
      </c>
      <c r="U115" s="2">
        <f t="shared" si="7"/>
        <v>0.26557704716981134</v>
      </c>
    </row>
    <row r="116" spans="2:21" x14ac:dyDescent="0.3">
      <c r="B116" s="2">
        <v>53500</v>
      </c>
      <c r="C116" s="2">
        <v>1.0699999999999999E-2</v>
      </c>
      <c r="D116" s="2">
        <v>-2.9099729000000001E-3</v>
      </c>
      <c r="E116" s="2">
        <v>0</v>
      </c>
      <c r="F116" s="2">
        <v>1.0188775999999999</v>
      </c>
      <c r="G116" s="2">
        <v>4.8153341999999997</v>
      </c>
      <c r="H116" s="2">
        <v>2.6050230000000001</v>
      </c>
      <c r="I116" s="2">
        <v>2.0523587000000001</v>
      </c>
      <c r="J116" s="2">
        <v>6.0998318000000005E-14</v>
      </c>
      <c r="K116" s="2">
        <v>-272977.8</v>
      </c>
      <c r="L116" s="2">
        <v>1118.6842999999999</v>
      </c>
      <c r="M116" s="2">
        <v>185.78738999999999</v>
      </c>
      <c r="N116" s="2">
        <v>76.245185000000006</v>
      </c>
      <c r="O116" s="2">
        <v>65.141108000000003</v>
      </c>
      <c r="P116" s="2">
        <v>0</v>
      </c>
      <c r="R116" s="2">
        <f t="shared" si="6"/>
        <v>2.7659475584999997</v>
      </c>
      <c r="S116" s="2">
        <f t="shared" si="4"/>
        <v>-1.1335068669749999E-2</v>
      </c>
      <c r="T116" s="2">
        <f t="shared" si="5"/>
        <v>-1.8824907291749998E-3</v>
      </c>
      <c r="U116" s="2">
        <f t="shared" si="7"/>
        <v>0.27196008411214956</v>
      </c>
    </row>
    <row r="117" spans="2:21" x14ac:dyDescent="0.3">
      <c r="B117" s="2">
        <v>54000</v>
      </c>
      <c r="C117" s="2">
        <v>1.0800000000000001E-2</v>
      </c>
      <c r="D117" s="2">
        <v>-2.9037587E-3</v>
      </c>
      <c r="E117" s="2">
        <v>0</v>
      </c>
      <c r="F117" s="2">
        <v>0.97308848000000003</v>
      </c>
      <c r="G117" s="2">
        <v>4.8956230999999999</v>
      </c>
      <c r="H117" s="2">
        <v>2.6514310000000001</v>
      </c>
      <c r="I117" s="2">
        <v>2.0933381</v>
      </c>
      <c r="J117" s="2">
        <v>5.8544281000000001E-14</v>
      </c>
      <c r="K117" s="2">
        <v>-275393.59000000003</v>
      </c>
      <c r="L117" s="2">
        <v>-133.75325000000001</v>
      </c>
      <c r="M117" s="2">
        <v>460.54088999999999</v>
      </c>
      <c r="N117" s="2">
        <v>76.252729000000002</v>
      </c>
      <c r="O117" s="2">
        <v>65.141514000000001</v>
      </c>
      <c r="P117" s="2">
        <v>0</v>
      </c>
      <c r="R117" s="2">
        <f t="shared" si="6"/>
        <v>2.7904255506750002</v>
      </c>
      <c r="S117" s="2">
        <f t="shared" si="4"/>
        <v>1.3552548056250001E-3</v>
      </c>
      <c r="T117" s="2">
        <f t="shared" si="5"/>
        <v>-4.6664305679249996E-3</v>
      </c>
      <c r="U117" s="2">
        <f t="shared" si="7"/>
        <v>0.2688665462962963</v>
      </c>
    </row>
    <row r="118" spans="2:21" x14ac:dyDescent="0.3">
      <c r="B118" s="2">
        <v>54500</v>
      </c>
      <c r="C118" s="2">
        <v>1.09E-2</v>
      </c>
      <c r="D118" s="2">
        <v>-2.9241754999999999E-3</v>
      </c>
      <c r="E118" s="2">
        <v>0</v>
      </c>
      <c r="F118" s="2">
        <v>1.0502545999999999</v>
      </c>
      <c r="G118" s="2">
        <v>4.9845848999999998</v>
      </c>
      <c r="H118" s="2">
        <v>2.6834467000000002</v>
      </c>
      <c r="I118" s="2">
        <v>2.1383214000000001</v>
      </c>
      <c r="J118" s="2">
        <v>5.9673821E-14</v>
      </c>
      <c r="K118" s="2">
        <v>-277672.3</v>
      </c>
      <c r="L118" s="2">
        <v>-609.52454999999998</v>
      </c>
      <c r="M118" s="2">
        <v>283.61147</v>
      </c>
      <c r="N118" s="2">
        <v>76.260272999999998</v>
      </c>
      <c r="O118" s="2">
        <v>65.140180000000001</v>
      </c>
      <c r="P118" s="2">
        <v>0</v>
      </c>
      <c r="R118" s="2">
        <f t="shared" si="6"/>
        <v>2.8135145797500001</v>
      </c>
      <c r="S118" s="2">
        <f t="shared" si="4"/>
        <v>6.1760075028750002E-3</v>
      </c>
      <c r="T118" s="2">
        <f t="shared" si="5"/>
        <v>-2.8736932197749999E-3</v>
      </c>
      <c r="U118" s="2">
        <f t="shared" si="7"/>
        <v>0.26827298165137614</v>
      </c>
    </row>
    <row r="119" spans="2:21" x14ac:dyDescent="0.3">
      <c r="B119" s="2">
        <v>55000</v>
      </c>
      <c r="C119" s="2">
        <v>1.0999999999999999E-2</v>
      </c>
      <c r="D119" s="2">
        <v>-2.9827285000000002E-3</v>
      </c>
      <c r="E119" s="2">
        <v>0</v>
      </c>
      <c r="F119" s="2">
        <v>0.97891463000000001</v>
      </c>
      <c r="G119" s="2">
        <v>5.0706236999999996</v>
      </c>
      <c r="H119" s="2">
        <v>2.7415329000000002</v>
      </c>
      <c r="I119" s="2">
        <v>2.1773335</v>
      </c>
      <c r="J119" s="2">
        <v>5.9843019000000006E-14</v>
      </c>
      <c r="K119" s="2">
        <v>-280260.96999999997</v>
      </c>
      <c r="L119" s="2">
        <v>604.78868</v>
      </c>
      <c r="M119" s="2">
        <v>-168.18084999999999</v>
      </c>
      <c r="N119" s="2">
        <v>76.267816999999994</v>
      </c>
      <c r="O119" s="2">
        <v>65.136354999999995</v>
      </c>
      <c r="P119" s="2">
        <v>0</v>
      </c>
      <c r="R119" s="2">
        <f t="shared" si="6"/>
        <v>2.8397442785249996</v>
      </c>
      <c r="S119" s="2">
        <f t="shared" si="4"/>
        <v>-6.1280213001000004E-3</v>
      </c>
      <c r="T119" s="2">
        <f t="shared" si="5"/>
        <v>1.7040924626249999E-3</v>
      </c>
      <c r="U119" s="2">
        <f t="shared" si="7"/>
        <v>0.27115713636363642</v>
      </c>
    </row>
    <row r="120" spans="2:21" x14ac:dyDescent="0.3">
      <c r="B120" s="2">
        <v>55500</v>
      </c>
      <c r="C120" s="2">
        <v>1.11E-2</v>
      </c>
      <c r="D120" s="2">
        <v>-2.9743870000000002E-3</v>
      </c>
      <c r="E120" s="2">
        <v>0</v>
      </c>
      <c r="F120" s="2">
        <v>1.0010288000000001</v>
      </c>
      <c r="G120" s="2">
        <v>5.1555616999999998</v>
      </c>
      <c r="H120" s="2">
        <v>2.8056190999999999</v>
      </c>
      <c r="I120" s="2">
        <v>2.1947570999999999</v>
      </c>
      <c r="J120" s="2">
        <v>6.1803006999999994E-14</v>
      </c>
      <c r="K120" s="2">
        <v>-283187</v>
      </c>
      <c r="L120" s="2">
        <v>-148.85299000000001</v>
      </c>
      <c r="M120" s="2">
        <v>-457.88310999999999</v>
      </c>
      <c r="N120" s="2">
        <v>76.275361000000004</v>
      </c>
      <c r="O120" s="2">
        <v>65.136899999999997</v>
      </c>
      <c r="P120" s="2">
        <v>0</v>
      </c>
      <c r="R120" s="2">
        <f t="shared" si="6"/>
        <v>2.8693922774999998</v>
      </c>
      <c r="S120" s="2">
        <f t="shared" si="4"/>
        <v>1.5082529211750001E-3</v>
      </c>
      <c r="T120" s="2">
        <f t="shared" si="5"/>
        <v>4.6395006120749996E-3</v>
      </c>
      <c r="U120" s="2">
        <f t="shared" si="7"/>
        <v>0.26796279279279278</v>
      </c>
    </row>
    <row r="121" spans="2:21" x14ac:dyDescent="0.3">
      <c r="B121" s="2">
        <v>56000</v>
      </c>
      <c r="C121" s="2">
        <v>1.12E-2</v>
      </c>
      <c r="D121" s="2">
        <v>-3.0033975999999999E-3</v>
      </c>
      <c r="E121" s="2">
        <v>0</v>
      </c>
      <c r="F121" s="2">
        <v>1.0189177</v>
      </c>
      <c r="G121" s="2">
        <v>5.2386359999999996</v>
      </c>
      <c r="H121" s="2">
        <v>2.8422524999999998</v>
      </c>
      <c r="I121" s="2">
        <v>2.2384248000000002</v>
      </c>
      <c r="J121" s="2">
        <v>5.9694250000000001E-14</v>
      </c>
      <c r="K121" s="2">
        <v>-285516.27</v>
      </c>
      <c r="L121" s="2">
        <v>-265.13785000000001</v>
      </c>
      <c r="M121" s="2">
        <v>-346.99934000000002</v>
      </c>
      <c r="N121" s="2">
        <v>76.282904000000002</v>
      </c>
      <c r="O121" s="2">
        <v>65.135005000000007</v>
      </c>
      <c r="P121" s="2">
        <v>0</v>
      </c>
      <c r="R121" s="2">
        <f t="shared" si="6"/>
        <v>2.8929936057750001</v>
      </c>
      <c r="S121" s="2">
        <f t="shared" si="4"/>
        <v>2.6865092651250002E-3</v>
      </c>
      <c r="T121" s="2">
        <f t="shared" si="5"/>
        <v>3.5159708125500001E-3</v>
      </c>
      <c r="U121" s="2">
        <f t="shared" si="7"/>
        <v>0.26816049999999997</v>
      </c>
    </row>
    <row r="122" spans="2:21" x14ac:dyDescent="0.3">
      <c r="B122" s="2">
        <v>56500</v>
      </c>
      <c r="C122" s="2">
        <v>1.1299999999999999E-2</v>
      </c>
      <c r="D122" s="2">
        <v>-3.0596081000000002E-3</v>
      </c>
      <c r="E122" s="2">
        <v>0</v>
      </c>
      <c r="F122" s="2">
        <v>0.96470193999999998</v>
      </c>
      <c r="G122" s="2">
        <v>5.3320467999999996</v>
      </c>
      <c r="H122" s="2">
        <v>2.8831994999999999</v>
      </c>
      <c r="I122" s="2">
        <v>2.2992935000000001</v>
      </c>
      <c r="J122" s="2">
        <v>6.0760063999999999E-14</v>
      </c>
      <c r="K122" s="2">
        <v>-287639.27</v>
      </c>
      <c r="L122" s="2">
        <v>348.18583000000001</v>
      </c>
      <c r="M122" s="2">
        <v>33.566487000000002</v>
      </c>
      <c r="N122" s="2">
        <v>76.290447999999998</v>
      </c>
      <c r="O122" s="2">
        <v>65.131332</v>
      </c>
      <c r="P122" s="2">
        <v>0</v>
      </c>
      <c r="R122" s="2">
        <f t="shared" si="6"/>
        <v>2.9145049032750001</v>
      </c>
      <c r="S122" s="2">
        <f t="shared" si="4"/>
        <v>-3.5279929224750002E-3</v>
      </c>
      <c r="T122" s="2">
        <f t="shared" si="5"/>
        <v>-3.4011242952750005E-4</v>
      </c>
      <c r="U122" s="2">
        <f t="shared" si="7"/>
        <v>0.270761778761062</v>
      </c>
    </row>
    <row r="123" spans="2:21" x14ac:dyDescent="0.3">
      <c r="B123" s="2">
        <v>57000</v>
      </c>
      <c r="C123" s="2">
        <v>1.14E-2</v>
      </c>
      <c r="D123" s="2">
        <v>-3.0641551999999999E-3</v>
      </c>
      <c r="E123" s="2">
        <v>0</v>
      </c>
      <c r="F123" s="2">
        <v>1.0574435</v>
      </c>
      <c r="G123" s="2">
        <v>5.4253409000000001</v>
      </c>
      <c r="H123" s="2">
        <v>2.9408896000000002</v>
      </c>
      <c r="I123" s="2">
        <v>2.3205201</v>
      </c>
      <c r="J123" s="2">
        <v>5.9097615999999996E-14</v>
      </c>
      <c r="K123" s="2">
        <v>-290427.32</v>
      </c>
      <c r="L123" s="2">
        <v>-95.434917999999996</v>
      </c>
      <c r="M123" s="2">
        <v>401.96633000000003</v>
      </c>
      <c r="N123" s="2">
        <v>76.297991999999994</v>
      </c>
      <c r="O123" s="2">
        <v>65.131034999999997</v>
      </c>
      <c r="P123" s="2">
        <v>0</v>
      </c>
      <c r="R123" s="2">
        <f t="shared" si="6"/>
        <v>2.9427548199000002</v>
      </c>
      <c r="S123" s="2">
        <f t="shared" si="4"/>
        <v>9.6699430663499994E-4</v>
      </c>
      <c r="T123" s="2">
        <f t="shared" si="5"/>
        <v>-4.072923838725E-3</v>
      </c>
      <c r="U123" s="2">
        <f t="shared" si="7"/>
        <v>0.26878554385964909</v>
      </c>
    </row>
    <row r="124" spans="2:21" x14ac:dyDescent="0.3">
      <c r="B124" s="2">
        <v>57500</v>
      </c>
      <c r="C124" s="2">
        <v>1.15E-2</v>
      </c>
      <c r="D124" s="2">
        <v>-3.0779625999999998E-3</v>
      </c>
      <c r="E124" s="2">
        <v>0</v>
      </c>
      <c r="F124" s="2">
        <v>1.0020392</v>
      </c>
      <c r="G124" s="2">
        <v>5.5102168999999996</v>
      </c>
      <c r="H124" s="2">
        <v>3.0075322</v>
      </c>
      <c r="I124" s="2">
        <v>2.3473424999999999</v>
      </c>
      <c r="J124" s="2">
        <v>5.7700510999999999E-14</v>
      </c>
      <c r="K124" s="2">
        <v>-293259.64</v>
      </c>
      <c r="L124" s="2">
        <v>-177.07597999999999</v>
      </c>
      <c r="M124" s="2">
        <v>469.17018000000002</v>
      </c>
      <c r="N124" s="2">
        <v>76.305536000000004</v>
      </c>
      <c r="O124" s="2">
        <v>65.130133000000001</v>
      </c>
      <c r="P124" s="2">
        <v>0</v>
      </c>
      <c r="R124" s="2">
        <f t="shared" si="6"/>
        <v>2.9714533023</v>
      </c>
      <c r="S124" s="2">
        <f t="shared" si="4"/>
        <v>1.7942223673499999E-3</v>
      </c>
      <c r="T124" s="2">
        <f t="shared" si="5"/>
        <v>-4.7538668488500005E-3</v>
      </c>
      <c r="U124" s="2">
        <f t="shared" si="7"/>
        <v>0.26764892173913041</v>
      </c>
    </row>
    <row r="125" spans="2:21" x14ac:dyDescent="0.3">
      <c r="B125" s="2">
        <v>58000</v>
      </c>
      <c r="C125" s="2">
        <v>1.1599999999999999E-2</v>
      </c>
      <c r="D125" s="2">
        <v>-3.1251342E-3</v>
      </c>
      <c r="E125" s="2">
        <v>0</v>
      </c>
      <c r="F125" s="2">
        <v>0.97139982000000002</v>
      </c>
      <c r="G125" s="2">
        <v>5.5976998</v>
      </c>
      <c r="H125" s="2">
        <v>3.0475679000000002</v>
      </c>
      <c r="I125" s="2">
        <v>2.3995397000000001</v>
      </c>
      <c r="J125" s="2">
        <v>6.0774274999999997E-14</v>
      </c>
      <c r="K125" s="2">
        <v>-295456.15000000002</v>
      </c>
      <c r="L125" s="2">
        <v>205.64241999999999</v>
      </c>
      <c r="M125" s="2">
        <v>218.46120999999999</v>
      </c>
      <c r="N125" s="2">
        <v>76.313079999999999</v>
      </c>
      <c r="O125" s="2">
        <v>65.127050999999994</v>
      </c>
      <c r="P125" s="2">
        <v>0</v>
      </c>
      <c r="R125" s="2">
        <f t="shared" si="6"/>
        <v>2.9937094398750004</v>
      </c>
      <c r="S125" s="2">
        <f t="shared" si="4"/>
        <v>-2.0836718206499998E-3</v>
      </c>
      <c r="T125" s="2">
        <f t="shared" si="5"/>
        <v>-2.2135582103250001E-3</v>
      </c>
      <c r="U125" s="2">
        <f t="shared" si="7"/>
        <v>0.26940812068965519</v>
      </c>
    </row>
    <row r="126" spans="2:21" x14ac:dyDescent="0.3">
      <c r="B126" s="2">
        <v>58500</v>
      </c>
      <c r="C126" s="2">
        <v>1.17E-2</v>
      </c>
      <c r="D126" s="2">
        <v>-3.1505629999999999E-3</v>
      </c>
      <c r="E126" s="2">
        <v>0</v>
      </c>
      <c r="F126" s="2">
        <v>1.0529428999999999</v>
      </c>
      <c r="G126" s="2">
        <v>5.6950212999999996</v>
      </c>
      <c r="H126" s="2">
        <v>3.0812149999999998</v>
      </c>
      <c r="I126" s="2">
        <v>2.4505726999999999</v>
      </c>
      <c r="J126" s="2">
        <v>6.1559646000000005E-14</v>
      </c>
      <c r="K126" s="2">
        <v>-297746.09999999998</v>
      </c>
      <c r="L126" s="2">
        <v>-81.717172000000005</v>
      </c>
      <c r="M126" s="2">
        <v>-170.26889</v>
      </c>
      <c r="N126" s="2">
        <v>76.320622999999998</v>
      </c>
      <c r="O126" s="2">
        <v>65.125389999999996</v>
      </c>
      <c r="P126" s="2">
        <v>0</v>
      </c>
      <c r="R126" s="2">
        <f t="shared" si="6"/>
        <v>3.0169123582499999</v>
      </c>
      <c r="S126" s="2">
        <f t="shared" si="4"/>
        <v>8.2799924529000006E-4</v>
      </c>
      <c r="T126" s="2">
        <f t="shared" si="5"/>
        <v>1.725249527925E-3</v>
      </c>
      <c r="U126" s="2">
        <f t="shared" si="7"/>
        <v>0.26927888888888885</v>
      </c>
    </row>
    <row r="127" spans="2:21" x14ac:dyDescent="0.3">
      <c r="B127" s="2">
        <v>59000</v>
      </c>
      <c r="C127" s="2">
        <v>1.18E-2</v>
      </c>
      <c r="D127" s="2">
        <v>-3.1676370000000001E-3</v>
      </c>
      <c r="E127" s="2">
        <v>0</v>
      </c>
      <c r="F127" s="2">
        <v>0.93219874000000003</v>
      </c>
      <c r="G127" s="2">
        <v>5.7824545000000001</v>
      </c>
      <c r="H127" s="2">
        <v>3.1594850999999999</v>
      </c>
      <c r="I127" s="2">
        <v>2.4784543000000001</v>
      </c>
      <c r="J127" s="2">
        <v>5.8934635E-14</v>
      </c>
      <c r="K127" s="2">
        <v>-300564.02</v>
      </c>
      <c r="L127" s="2">
        <v>-43.934381999999999</v>
      </c>
      <c r="M127" s="2">
        <v>-445.18898999999999</v>
      </c>
      <c r="N127" s="2">
        <v>76.328166999999993</v>
      </c>
      <c r="O127" s="2">
        <v>65.124274999999997</v>
      </c>
      <c r="P127" s="2">
        <v>0</v>
      </c>
      <c r="R127" s="2">
        <f t="shared" si="6"/>
        <v>3.0454649326500003</v>
      </c>
      <c r="S127" s="2">
        <f t="shared" si="4"/>
        <v>4.4516512561499998E-4</v>
      </c>
      <c r="T127" s="2">
        <f t="shared" si="5"/>
        <v>4.5108774411750001E-3</v>
      </c>
      <c r="U127" s="2">
        <f t="shared" si="7"/>
        <v>0.26844381355932206</v>
      </c>
    </row>
    <row r="128" spans="2:21" x14ac:dyDescent="0.3">
      <c r="B128" s="2">
        <v>59500</v>
      </c>
      <c r="C128" s="2">
        <v>1.1900000000000001E-2</v>
      </c>
      <c r="D128" s="2">
        <v>-3.1958237999999998E-3</v>
      </c>
      <c r="E128" s="2">
        <v>0</v>
      </c>
      <c r="F128" s="2">
        <v>0.98555148999999997</v>
      </c>
      <c r="G128" s="2">
        <v>5.8700609999999998</v>
      </c>
      <c r="H128" s="2">
        <v>3.2054604000000002</v>
      </c>
      <c r="I128" s="2">
        <v>2.5118144999999998</v>
      </c>
      <c r="J128" s="2">
        <v>6.1285643000000005E-14</v>
      </c>
      <c r="K128" s="2">
        <v>-303229.51</v>
      </c>
      <c r="L128" s="2">
        <v>178.27064999999999</v>
      </c>
      <c r="M128" s="2">
        <v>-462.74466999999999</v>
      </c>
      <c r="N128" s="2">
        <v>76.335711000000003</v>
      </c>
      <c r="O128" s="2">
        <v>65.122433000000001</v>
      </c>
      <c r="P128" s="2">
        <v>0</v>
      </c>
      <c r="R128" s="2">
        <f t="shared" si="6"/>
        <v>3.072473010075</v>
      </c>
      <c r="S128" s="2">
        <f t="shared" si="4"/>
        <v>-1.8063273611249998E-3</v>
      </c>
      <c r="T128" s="2">
        <f t="shared" si="5"/>
        <v>4.6887603687749994E-3</v>
      </c>
      <c r="U128" s="2">
        <f t="shared" si="7"/>
        <v>0.26855662184873946</v>
      </c>
    </row>
    <row r="129" spans="2:21" x14ac:dyDescent="0.3">
      <c r="B129" s="2">
        <v>60000</v>
      </c>
      <c r="C129" s="2">
        <v>1.2E-2</v>
      </c>
      <c r="D129" s="2">
        <v>-3.2167789999999999E-3</v>
      </c>
      <c r="E129" s="2">
        <v>0</v>
      </c>
      <c r="F129" s="2">
        <v>1.0133013</v>
      </c>
      <c r="G129" s="2">
        <v>5.9656452</v>
      </c>
      <c r="H129" s="2">
        <v>3.2441914999999999</v>
      </c>
      <c r="I129" s="2">
        <v>2.5643657000000002</v>
      </c>
      <c r="J129" s="2">
        <v>6.0105919999999998E-14</v>
      </c>
      <c r="K129" s="2">
        <v>-305427.13</v>
      </c>
      <c r="L129" s="2">
        <v>-351.44666000000001</v>
      </c>
      <c r="M129" s="2">
        <v>-225.84657999999999</v>
      </c>
      <c r="N129" s="2">
        <v>76.343254999999999</v>
      </c>
      <c r="O129" s="2">
        <v>65.121064000000004</v>
      </c>
      <c r="P129" s="2">
        <v>0</v>
      </c>
      <c r="R129" s="2">
        <f t="shared" si="6"/>
        <v>3.0947403947250001</v>
      </c>
      <c r="S129" s="2">
        <f t="shared" si="4"/>
        <v>3.5610332824499999E-3</v>
      </c>
      <c r="T129" s="2">
        <f t="shared" si="5"/>
        <v>2.28839047185E-3</v>
      </c>
      <c r="U129" s="2">
        <f t="shared" si="7"/>
        <v>0.26806491666666665</v>
      </c>
    </row>
    <row r="130" spans="2:21" x14ac:dyDescent="0.3">
      <c r="B130" s="2">
        <v>60500</v>
      </c>
      <c r="C130" s="2">
        <v>1.21E-2</v>
      </c>
      <c r="D130" s="2">
        <v>-3.2649112999999998E-3</v>
      </c>
      <c r="E130" s="2">
        <v>0</v>
      </c>
      <c r="F130" s="2">
        <v>0.99956511000000003</v>
      </c>
      <c r="G130" s="2">
        <v>6.0650687000000003</v>
      </c>
      <c r="H130" s="2">
        <v>3.2998707999999999</v>
      </c>
      <c r="I130" s="2">
        <v>2.6102392999999999</v>
      </c>
      <c r="J130" s="2">
        <v>6.1939787000000006E-14</v>
      </c>
      <c r="K130" s="2">
        <v>-307803.42</v>
      </c>
      <c r="L130" s="2">
        <v>282.5206</v>
      </c>
      <c r="M130" s="2">
        <v>108.78636</v>
      </c>
      <c r="N130" s="2">
        <v>76.350798999999995</v>
      </c>
      <c r="O130" s="2">
        <v>65.117919999999998</v>
      </c>
      <c r="P130" s="2">
        <v>0</v>
      </c>
      <c r="R130" s="2">
        <f t="shared" si="6"/>
        <v>3.1188181531499999</v>
      </c>
      <c r="S130" s="2">
        <f t="shared" si="4"/>
        <v>-2.8626399794999999E-3</v>
      </c>
      <c r="T130" s="2">
        <f t="shared" si="5"/>
        <v>-1.1022777927000001E-3</v>
      </c>
      <c r="U130" s="2">
        <f t="shared" si="7"/>
        <v>0.26982738016528923</v>
      </c>
    </row>
    <row r="131" spans="2:21" x14ac:dyDescent="0.3">
      <c r="B131" s="2">
        <v>61000</v>
      </c>
      <c r="C131" s="2">
        <v>1.2200000000000001E-2</v>
      </c>
      <c r="D131" s="2">
        <v>-3.2779761000000002E-3</v>
      </c>
      <c r="E131" s="2">
        <v>0</v>
      </c>
      <c r="F131" s="2">
        <v>1.0056955999999999</v>
      </c>
      <c r="G131" s="2">
        <v>6.1606683000000002</v>
      </c>
      <c r="H131" s="2">
        <v>3.3674328999999998</v>
      </c>
      <c r="I131" s="2">
        <v>2.6373264999999999</v>
      </c>
      <c r="J131" s="2">
        <v>5.8733240000000003E-14</v>
      </c>
      <c r="K131" s="2">
        <v>-310731.05</v>
      </c>
      <c r="L131" s="2">
        <v>282.74250999999998</v>
      </c>
      <c r="M131" s="2">
        <v>378.56344999999999</v>
      </c>
      <c r="N131" s="2">
        <v>76.358341999999993</v>
      </c>
      <c r="O131" s="2">
        <v>65.117065999999994</v>
      </c>
      <c r="P131" s="2">
        <v>0</v>
      </c>
      <c r="R131" s="2">
        <f t="shared" si="6"/>
        <v>3.1484823641249999</v>
      </c>
      <c r="S131" s="2">
        <f t="shared" si="4"/>
        <v>-2.8648884825749998E-3</v>
      </c>
      <c r="T131" s="2">
        <f t="shared" si="5"/>
        <v>-3.8357941571250001E-3</v>
      </c>
      <c r="U131" s="2">
        <f t="shared" si="7"/>
        <v>0.26868656557377046</v>
      </c>
    </row>
    <row r="132" spans="2:21" x14ac:dyDescent="0.3">
      <c r="B132" s="2">
        <v>61500</v>
      </c>
      <c r="C132" s="2">
        <v>1.23E-2</v>
      </c>
      <c r="D132" s="2">
        <v>-3.2661779000000002E-3</v>
      </c>
      <c r="E132" s="2">
        <v>0</v>
      </c>
      <c r="F132" s="2">
        <v>1.0105128000000001</v>
      </c>
      <c r="G132" s="2">
        <v>6.2475924999999997</v>
      </c>
      <c r="H132" s="2">
        <v>3.4187530000000002</v>
      </c>
      <c r="I132" s="2">
        <v>2.6721837000000002</v>
      </c>
      <c r="J132" s="2">
        <v>6.0311755999999997E-14</v>
      </c>
      <c r="K132" s="2">
        <v>-313268.32</v>
      </c>
      <c r="L132" s="2">
        <v>-1013.7255</v>
      </c>
      <c r="M132" s="2">
        <v>459.76004999999998</v>
      </c>
      <c r="N132" s="2">
        <v>76.365886000000003</v>
      </c>
      <c r="O132" s="2">
        <v>65.117836999999994</v>
      </c>
      <c r="P132" s="2">
        <v>0</v>
      </c>
      <c r="R132" s="2">
        <f t="shared" si="6"/>
        <v>3.1741912524</v>
      </c>
      <c r="S132" s="2">
        <f t="shared" si="4"/>
        <v>1.0271573628750001E-2</v>
      </c>
      <c r="T132" s="2">
        <f t="shared" si="5"/>
        <v>-4.6585187066249993E-3</v>
      </c>
      <c r="U132" s="2">
        <f t="shared" si="7"/>
        <v>0.265542918699187</v>
      </c>
    </row>
    <row r="133" spans="2:21" x14ac:dyDescent="0.3">
      <c r="B133" s="2">
        <v>62000</v>
      </c>
      <c r="C133" s="2">
        <v>1.24E-2</v>
      </c>
      <c r="D133" s="2">
        <v>-3.3769805000000001E-3</v>
      </c>
      <c r="E133" s="2">
        <v>0</v>
      </c>
      <c r="F133" s="2">
        <v>1.0006994</v>
      </c>
      <c r="G133" s="2">
        <v>6.3431825000000002</v>
      </c>
      <c r="H133" s="2">
        <v>3.4454245999999999</v>
      </c>
      <c r="I133" s="2">
        <v>2.7426233999999998</v>
      </c>
      <c r="J133" s="2">
        <v>6.1776140000000004E-14</v>
      </c>
      <c r="K133" s="2">
        <v>-315129.05</v>
      </c>
      <c r="L133" s="2">
        <v>1219.0539000000001</v>
      </c>
      <c r="M133" s="2">
        <v>353.20891</v>
      </c>
      <c r="N133" s="2">
        <v>76.373429999999999</v>
      </c>
      <c r="O133" s="2">
        <v>65.110597999999996</v>
      </c>
      <c r="P133" s="2">
        <v>0</v>
      </c>
      <c r="R133" s="2">
        <f t="shared" si="6"/>
        <v>3.1930450991249999</v>
      </c>
      <c r="S133" s="2">
        <f t="shared" si="4"/>
        <v>-1.235206364175E-2</v>
      </c>
      <c r="T133" s="2">
        <f t="shared" si="5"/>
        <v>-3.5788892805749999E-3</v>
      </c>
      <c r="U133" s="2">
        <f t="shared" si="7"/>
        <v>0.27233713709677421</v>
      </c>
    </row>
    <row r="134" spans="2:21" x14ac:dyDescent="0.3">
      <c r="B134" s="2">
        <v>62500</v>
      </c>
      <c r="C134" s="2">
        <v>1.2500000000000001E-2</v>
      </c>
      <c r="D134" s="2">
        <v>-3.3367063000000001E-3</v>
      </c>
      <c r="E134" s="2">
        <v>0</v>
      </c>
      <c r="F134" s="2">
        <v>0.99049271000000005</v>
      </c>
      <c r="G134" s="2">
        <v>6.4467933000000004</v>
      </c>
      <c r="H134" s="2">
        <v>3.527523</v>
      </c>
      <c r="I134" s="2">
        <v>2.7657181</v>
      </c>
      <c r="J134" s="2">
        <v>5.7760019000000001E-14</v>
      </c>
      <c r="K134" s="2">
        <v>-318189.32</v>
      </c>
      <c r="L134" s="2">
        <v>-481.35834999999997</v>
      </c>
      <c r="M134" s="2">
        <v>101.47538</v>
      </c>
      <c r="N134" s="2">
        <v>76.380973999999995</v>
      </c>
      <c r="O134" s="2">
        <v>65.113229000000004</v>
      </c>
      <c r="P134" s="2">
        <v>0</v>
      </c>
      <c r="R134" s="2">
        <f t="shared" si="6"/>
        <v>3.2240532849000001</v>
      </c>
      <c r="S134" s="2">
        <f t="shared" si="4"/>
        <v>4.8773634813749998E-3</v>
      </c>
      <c r="T134" s="2">
        <f t="shared" si="5"/>
        <v>-1.02819928785E-3</v>
      </c>
      <c r="U134" s="2">
        <f t="shared" si="7"/>
        <v>0.26693650400000002</v>
      </c>
    </row>
    <row r="135" spans="2:21" x14ac:dyDescent="0.3">
      <c r="B135" s="2">
        <v>63000</v>
      </c>
      <c r="C135" s="2">
        <v>1.26E-2</v>
      </c>
      <c r="D135" s="2">
        <v>-3.3438460000000001E-3</v>
      </c>
      <c r="E135" s="2">
        <v>0</v>
      </c>
      <c r="F135" s="2">
        <v>1.0216730999999999</v>
      </c>
      <c r="G135" s="2">
        <v>6.5518615000000002</v>
      </c>
      <c r="H135" s="2">
        <v>3.5993210000000002</v>
      </c>
      <c r="I135" s="2">
        <v>2.7941546000000002</v>
      </c>
      <c r="J135" s="2">
        <v>5.8967942000000005E-14</v>
      </c>
      <c r="K135" s="2">
        <v>-320928.46999999997</v>
      </c>
      <c r="L135" s="2">
        <v>-863.55803000000003</v>
      </c>
      <c r="M135" s="2">
        <v>-173.94147000000001</v>
      </c>
      <c r="N135" s="2">
        <v>76.388518000000005</v>
      </c>
      <c r="O135" s="2">
        <v>65.112763000000001</v>
      </c>
      <c r="P135" s="2">
        <v>0</v>
      </c>
      <c r="R135" s="2">
        <f t="shared" si="6"/>
        <v>3.2518077222749997</v>
      </c>
      <c r="S135" s="2">
        <f t="shared" si="4"/>
        <v>8.7500017389749996E-3</v>
      </c>
      <c r="T135" s="2">
        <f t="shared" si="5"/>
        <v>1.7624619447750001E-3</v>
      </c>
      <c r="U135" s="2">
        <f t="shared" si="7"/>
        <v>0.26538460317460316</v>
      </c>
    </row>
    <row r="136" spans="2:21" x14ac:dyDescent="0.3">
      <c r="B136" s="2">
        <v>63500</v>
      </c>
      <c r="C136" s="2">
        <v>1.2699999999999999E-2</v>
      </c>
      <c r="D136" s="2">
        <v>-3.4737703999999999E-3</v>
      </c>
      <c r="E136" s="2">
        <v>0</v>
      </c>
      <c r="F136" s="2">
        <v>1.0193615</v>
      </c>
      <c r="G136" s="2">
        <v>6.6467362999999997</v>
      </c>
      <c r="H136" s="2">
        <v>3.6094225999999998</v>
      </c>
      <c r="I136" s="2">
        <v>2.8792862000000001</v>
      </c>
      <c r="J136" s="2">
        <v>5.9538373999999994E-14</v>
      </c>
      <c r="K136" s="2">
        <v>-322631.96000000002</v>
      </c>
      <c r="L136" s="2">
        <v>1836.0474999999999</v>
      </c>
      <c r="M136" s="2">
        <v>-385.85415999999998</v>
      </c>
      <c r="N136" s="2">
        <v>76.396061000000003</v>
      </c>
      <c r="O136" s="2">
        <v>65.104274000000004</v>
      </c>
      <c r="P136" s="2">
        <v>0</v>
      </c>
      <c r="R136" s="2">
        <f t="shared" si="6"/>
        <v>3.2690683347</v>
      </c>
      <c r="S136" s="2">
        <f t="shared" si="4"/>
        <v>-1.8603751293749998E-2</v>
      </c>
      <c r="T136" s="2">
        <f t="shared" si="5"/>
        <v>3.9096672761999999E-3</v>
      </c>
      <c r="U136" s="2">
        <f t="shared" si="7"/>
        <v>0.27352522834645671</v>
      </c>
    </row>
    <row r="137" spans="2:21" x14ac:dyDescent="0.3">
      <c r="B137" s="2">
        <v>64000</v>
      </c>
      <c r="C137" s="2">
        <v>1.2800000000000001E-2</v>
      </c>
      <c r="D137" s="2">
        <v>-3.3810074999999998E-3</v>
      </c>
      <c r="E137" s="2">
        <v>0</v>
      </c>
      <c r="F137" s="2">
        <v>1.0005188</v>
      </c>
      <c r="G137" s="2">
        <v>6.7435858</v>
      </c>
      <c r="H137" s="2">
        <v>3.6963460000000001</v>
      </c>
      <c r="I137" s="2">
        <v>2.8921334000000001</v>
      </c>
      <c r="J137" s="2">
        <v>5.9858784999999995E-14</v>
      </c>
      <c r="K137" s="2">
        <v>-325707.38</v>
      </c>
      <c r="L137" s="2">
        <v>-1663.8298</v>
      </c>
      <c r="M137" s="2">
        <v>-477.51123000000001</v>
      </c>
      <c r="N137" s="2">
        <v>76.403604999999999</v>
      </c>
      <c r="O137" s="2">
        <v>65.110335000000006</v>
      </c>
      <c r="P137" s="2">
        <v>0</v>
      </c>
      <c r="R137" s="2">
        <f t="shared" si="6"/>
        <v>3.3002300278500001</v>
      </c>
      <c r="S137" s="2">
        <f t="shared" ref="S137:S200" si="8">-L137*$B$3</f>
        <v>1.6858755448500001E-2</v>
      </c>
      <c r="T137" s="2">
        <f t="shared" ref="T137:T200" si="9">-M137*$B$3</f>
        <v>4.8383825379750001E-3</v>
      </c>
      <c r="U137" s="2">
        <f t="shared" si="7"/>
        <v>0.26414121093749998</v>
      </c>
    </row>
    <row r="138" spans="2:21" x14ac:dyDescent="0.3">
      <c r="B138" s="2">
        <v>64500</v>
      </c>
      <c r="C138" s="2">
        <v>1.29E-2</v>
      </c>
      <c r="D138" s="2">
        <v>-3.4679590000000001E-3</v>
      </c>
      <c r="E138" s="2">
        <v>0</v>
      </c>
      <c r="F138" s="2">
        <v>0.91616534999999999</v>
      </c>
      <c r="G138" s="2">
        <v>6.8287183999999996</v>
      </c>
      <c r="H138" s="2">
        <v>3.7561257000000001</v>
      </c>
      <c r="I138" s="2">
        <v>2.9305633000000002</v>
      </c>
      <c r="J138" s="2">
        <v>6.0242921999999995E-14</v>
      </c>
      <c r="K138" s="2">
        <v>-328293.90000000002</v>
      </c>
      <c r="L138" s="2">
        <v>547.64032999999995</v>
      </c>
      <c r="M138" s="2">
        <v>-423.93878000000001</v>
      </c>
      <c r="N138" s="2">
        <v>76.411148999999995</v>
      </c>
      <c r="O138" s="2">
        <v>65.104653999999996</v>
      </c>
      <c r="P138" s="2">
        <v>0</v>
      </c>
      <c r="R138" s="2">
        <f t="shared" ref="R138:R201" si="10">-K138*$B$3</f>
        <v>3.3264379417500001</v>
      </c>
      <c r="S138" s="2">
        <f t="shared" si="8"/>
        <v>-5.5489656437249998E-3</v>
      </c>
      <c r="T138" s="2">
        <f t="shared" si="9"/>
        <v>4.2955596883500003E-3</v>
      </c>
      <c r="U138" s="2">
        <f t="shared" ref="U138:U201" si="11">-D138/C138</f>
        <v>0.26883403100775194</v>
      </c>
    </row>
    <row r="139" spans="2:21" x14ac:dyDescent="0.3">
      <c r="B139" s="2">
        <v>65000</v>
      </c>
      <c r="C139" s="2">
        <v>1.2999999999999999E-2</v>
      </c>
      <c r="D139" s="2">
        <v>-3.4986634000000001E-3</v>
      </c>
      <c r="E139" s="2">
        <v>0</v>
      </c>
      <c r="F139" s="2">
        <v>1.0243905</v>
      </c>
      <c r="G139" s="2">
        <v>6.9483394000000001</v>
      </c>
      <c r="H139" s="2">
        <v>3.794432</v>
      </c>
      <c r="I139" s="2">
        <v>2.9951002999999998</v>
      </c>
      <c r="J139" s="2">
        <v>5.8664851000000003E-14</v>
      </c>
      <c r="K139" s="2">
        <v>-330413.49</v>
      </c>
      <c r="L139" s="2">
        <v>280.41546</v>
      </c>
      <c r="M139" s="2">
        <v>-284.19891000000001</v>
      </c>
      <c r="N139" s="2">
        <v>76.418693000000005</v>
      </c>
      <c r="O139" s="2">
        <v>65.102648000000002</v>
      </c>
      <c r="P139" s="2">
        <v>0</v>
      </c>
      <c r="R139" s="2">
        <f t="shared" si="10"/>
        <v>3.3479146874249999</v>
      </c>
      <c r="S139" s="2">
        <f t="shared" si="8"/>
        <v>-2.8413096484500001E-3</v>
      </c>
      <c r="T139" s="2">
        <f t="shared" si="9"/>
        <v>2.8796454555750002E-3</v>
      </c>
      <c r="U139" s="2">
        <f t="shared" si="11"/>
        <v>0.26912795384615384</v>
      </c>
    </row>
    <row r="140" spans="2:21" x14ac:dyDescent="0.3">
      <c r="B140" s="2">
        <v>65500</v>
      </c>
      <c r="C140" s="2">
        <v>1.3100000000000001E-2</v>
      </c>
      <c r="D140" s="2">
        <v>-3.5027090000000001E-3</v>
      </c>
      <c r="E140" s="2">
        <v>0</v>
      </c>
      <c r="F140" s="2">
        <v>1.0034242</v>
      </c>
      <c r="G140" s="2">
        <v>7.0490795999999998</v>
      </c>
      <c r="H140" s="2">
        <v>3.8518471000000001</v>
      </c>
      <c r="I140" s="2">
        <v>3.0416756</v>
      </c>
      <c r="J140" s="2">
        <v>6.1755711999999996E-14</v>
      </c>
      <c r="K140" s="2">
        <v>-332960.05</v>
      </c>
      <c r="L140" s="2">
        <v>-451.63796000000002</v>
      </c>
      <c r="M140" s="2">
        <v>-80.629143999999997</v>
      </c>
      <c r="N140" s="2">
        <v>76.426237</v>
      </c>
      <c r="O140" s="2">
        <v>65.102384000000001</v>
      </c>
      <c r="P140" s="2">
        <v>0</v>
      </c>
      <c r="R140" s="2">
        <f t="shared" si="10"/>
        <v>3.3737177066249999</v>
      </c>
      <c r="S140" s="2">
        <f t="shared" si="8"/>
        <v>4.5762216297000006E-3</v>
      </c>
      <c r="T140" s="2">
        <f t="shared" si="9"/>
        <v>8.1697480158000001E-4</v>
      </c>
      <c r="U140" s="2">
        <f t="shared" si="11"/>
        <v>0.26738236641221375</v>
      </c>
    </row>
    <row r="141" spans="2:21" x14ac:dyDescent="0.3">
      <c r="B141" s="2">
        <v>66000</v>
      </c>
      <c r="C141" s="2">
        <v>1.32E-2</v>
      </c>
      <c r="D141" s="2">
        <v>-3.5425811E-3</v>
      </c>
      <c r="E141" s="2">
        <v>0</v>
      </c>
      <c r="F141" s="2">
        <v>0.96494506999999996</v>
      </c>
      <c r="G141" s="2">
        <v>7.1406565999999998</v>
      </c>
      <c r="H141" s="2">
        <v>3.9313259</v>
      </c>
      <c r="I141" s="2">
        <v>3.0597390999999998</v>
      </c>
      <c r="J141" s="2">
        <v>6.0393911999999998E-14</v>
      </c>
      <c r="K141" s="2">
        <v>-335792.61</v>
      </c>
      <c r="L141" s="2">
        <v>424.74655000000001</v>
      </c>
      <c r="M141" s="2">
        <v>126.7724</v>
      </c>
      <c r="N141" s="2">
        <v>76.433779999999999</v>
      </c>
      <c r="O141" s="2">
        <v>65.099778999999998</v>
      </c>
      <c r="P141" s="2">
        <v>0</v>
      </c>
      <c r="R141" s="2">
        <f t="shared" si="10"/>
        <v>3.4024186208249998</v>
      </c>
      <c r="S141" s="2">
        <f t="shared" si="8"/>
        <v>-4.3037444178750002E-3</v>
      </c>
      <c r="T141" s="2">
        <f t="shared" si="9"/>
        <v>-1.284521343E-3</v>
      </c>
      <c r="U141" s="2">
        <f t="shared" si="11"/>
        <v>0.26837735606060609</v>
      </c>
    </row>
    <row r="142" spans="2:21" x14ac:dyDescent="0.3">
      <c r="B142" s="2">
        <v>66500</v>
      </c>
      <c r="C142" s="2">
        <v>1.3299999999999999E-2</v>
      </c>
      <c r="D142" s="2">
        <v>-3.5545022999999999E-3</v>
      </c>
      <c r="E142" s="2">
        <v>0</v>
      </c>
      <c r="F142" s="2">
        <v>0.94324574999999999</v>
      </c>
      <c r="G142" s="2">
        <v>7.2434750000000001</v>
      </c>
      <c r="H142" s="2">
        <v>3.9764938000000001</v>
      </c>
      <c r="I142" s="2">
        <v>3.1207536</v>
      </c>
      <c r="J142" s="2">
        <v>5.7908345000000004E-14</v>
      </c>
      <c r="K142" s="2">
        <v>-338082.17</v>
      </c>
      <c r="L142" s="2">
        <v>-324.56734999999998</v>
      </c>
      <c r="M142" s="2">
        <v>300.34802000000002</v>
      </c>
      <c r="N142" s="2">
        <v>76.441323999999994</v>
      </c>
      <c r="O142" s="2">
        <v>65.099000000000004</v>
      </c>
      <c r="P142" s="2">
        <v>0</v>
      </c>
      <c r="R142" s="2">
        <f t="shared" si="10"/>
        <v>3.4256175875249997</v>
      </c>
      <c r="S142" s="2">
        <f t="shared" si="8"/>
        <v>3.2886786738749998E-3</v>
      </c>
      <c r="T142" s="2">
        <f t="shared" si="9"/>
        <v>-3.0432763126500002E-3</v>
      </c>
      <c r="U142" s="2">
        <f t="shared" si="11"/>
        <v>0.2672558120300752</v>
      </c>
    </row>
    <row r="143" spans="2:21" x14ac:dyDescent="0.3">
      <c r="B143" s="2">
        <v>67000</v>
      </c>
      <c r="C143" s="2">
        <v>1.34E-2</v>
      </c>
      <c r="D143" s="2">
        <v>-3.5994834999999998E-3</v>
      </c>
      <c r="E143" s="2">
        <v>0</v>
      </c>
      <c r="F143" s="2">
        <v>0.93752575000000005</v>
      </c>
      <c r="G143" s="2">
        <v>7.3507274999999996</v>
      </c>
      <c r="H143" s="2">
        <v>4.0307450999999999</v>
      </c>
      <c r="I143" s="2">
        <v>3.1746414999999999</v>
      </c>
      <c r="J143" s="2">
        <v>5.9548809999999996E-14</v>
      </c>
      <c r="K143" s="2">
        <v>-340375.89</v>
      </c>
      <c r="L143" s="2">
        <v>113.13081</v>
      </c>
      <c r="M143" s="2">
        <v>419.40329000000003</v>
      </c>
      <c r="N143" s="2">
        <v>76.448868000000004</v>
      </c>
      <c r="O143" s="2">
        <v>65.096062000000003</v>
      </c>
      <c r="P143" s="2">
        <v>0</v>
      </c>
      <c r="R143" s="2">
        <f t="shared" si="10"/>
        <v>3.4488587054250002</v>
      </c>
      <c r="S143" s="2">
        <f t="shared" si="8"/>
        <v>-1.1462979323249999E-3</v>
      </c>
      <c r="T143" s="2">
        <f t="shared" si="9"/>
        <v>-4.2496038359250005E-3</v>
      </c>
      <c r="U143" s="2">
        <f t="shared" si="11"/>
        <v>0.26861817164179103</v>
      </c>
    </row>
    <row r="144" spans="2:21" x14ac:dyDescent="0.3">
      <c r="B144" s="2">
        <v>67500</v>
      </c>
      <c r="C144" s="2">
        <v>1.35E-2</v>
      </c>
      <c r="D144" s="2">
        <v>-3.6135671999999999E-3</v>
      </c>
      <c r="E144" s="2">
        <v>0</v>
      </c>
      <c r="F144" s="2">
        <v>0.96463885000000005</v>
      </c>
      <c r="G144" s="2">
        <v>7.4597391000000002</v>
      </c>
      <c r="H144" s="2">
        <v>4.1109093999999997</v>
      </c>
      <c r="I144" s="2">
        <v>3.1992856000000001</v>
      </c>
      <c r="J144" s="2">
        <v>5.9604543999999996E-14</v>
      </c>
      <c r="K144" s="2">
        <v>-343346.41</v>
      </c>
      <c r="L144" s="2">
        <v>226.90360000000001</v>
      </c>
      <c r="M144" s="2">
        <v>465.25650000000002</v>
      </c>
      <c r="N144" s="2">
        <v>76.456412</v>
      </c>
      <c r="O144" s="2">
        <v>65.095140999999998</v>
      </c>
      <c r="P144" s="2">
        <v>0</v>
      </c>
      <c r="R144" s="2">
        <f t="shared" si="10"/>
        <v>3.4789574993249999</v>
      </c>
      <c r="S144" s="2">
        <f t="shared" si="8"/>
        <v>-2.2991007270000002E-3</v>
      </c>
      <c r="T144" s="2">
        <f t="shared" si="9"/>
        <v>-4.7142114862499997E-3</v>
      </c>
      <c r="U144" s="2">
        <f t="shared" si="11"/>
        <v>0.26767164444444441</v>
      </c>
    </row>
    <row r="145" spans="2:21" x14ac:dyDescent="0.3">
      <c r="B145" s="2">
        <v>68000</v>
      </c>
      <c r="C145" s="2">
        <v>1.3599999999999999E-2</v>
      </c>
      <c r="D145" s="2">
        <v>-3.6167316E-3</v>
      </c>
      <c r="E145" s="2">
        <v>0</v>
      </c>
      <c r="F145" s="2">
        <v>1.0354992000000001</v>
      </c>
      <c r="G145" s="2">
        <v>7.5709491</v>
      </c>
      <c r="H145" s="2">
        <v>4.1555071000000003</v>
      </c>
      <c r="I145" s="2">
        <v>3.2549127000000002</v>
      </c>
      <c r="J145" s="2">
        <v>5.8615557000000005E-14</v>
      </c>
      <c r="K145" s="2">
        <v>-345644.37</v>
      </c>
      <c r="L145" s="2">
        <v>-805.98892999999998</v>
      </c>
      <c r="M145" s="2">
        <v>442.53246999999999</v>
      </c>
      <c r="N145" s="2">
        <v>76.463955999999996</v>
      </c>
      <c r="O145" s="2">
        <v>65.094935000000007</v>
      </c>
      <c r="P145" s="2">
        <v>0</v>
      </c>
      <c r="R145" s="2">
        <f t="shared" si="10"/>
        <v>3.5022415790250001</v>
      </c>
      <c r="S145" s="2">
        <f t="shared" si="8"/>
        <v>8.1666828332249992E-3</v>
      </c>
      <c r="T145" s="2">
        <f t="shared" si="9"/>
        <v>-4.4839602522749999E-3</v>
      </c>
      <c r="U145" s="2">
        <f t="shared" si="11"/>
        <v>0.26593614705882357</v>
      </c>
    </row>
    <row r="146" spans="2:21" x14ac:dyDescent="0.3">
      <c r="B146" s="2">
        <v>68500</v>
      </c>
      <c r="C146" s="2">
        <v>1.37E-2</v>
      </c>
      <c r="D146" s="2">
        <v>-3.7227125000000002E-3</v>
      </c>
      <c r="E146" s="2">
        <v>0</v>
      </c>
      <c r="F146" s="2">
        <v>1.0608248</v>
      </c>
      <c r="G146" s="2">
        <v>7.6793728999999997</v>
      </c>
      <c r="H146" s="2">
        <v>4.1913061000000003</v>
      </c>
      <c r="I146" s="2">
        <v>3.3236113999999999</v>
      </c>
      <c r="J146" s="2">
        <v>5.9590111E-14</v>
      </c>
      <c r="K146" s="2">
        <v>-347703.09</v>
      </c>
      <c r="L146" s="2">
        <v>1480.6212</v>
      </c>
      <c r="M146" s="2">
        <v>378.14774</v>
      </c>
      <c r="N146" s="2">
        <v>76.471498999999994</v>
      </c>
      <c r="O146" s="2">
        <v>65.088010999999995</v>
      </c>
      <c r="P146" s="2">
        <v>0</v>
      </c>
      <c r="R146" s="2">
        <f t="shared" si="10"/>
        <v>3.5231015594250001</v>
      </c>
      <c r="S146" s="2">
        <f t="shared" si="8"/>
        <v>-1.5002394309E-2</v>
      </c>
      <c r="T146" s="2">
        <f t="shared" si="9"/>
        <v>-3.8315819755499999E-3</v>
      </c>
      <c r="U146" s="2">
        <f t="shared" si="11"/>
        <v>0.27173083941605841</v>
      </c>
    </row>
    <row r="147" spans="2:21" x14ac:dyDescent="0.3">
      <c r="B147" s="2">
        <v>69000</v>
      </c>
      <c r="C147" s="2">
        <v>1.38E-2</v>
      </c>
      <c r="D147" s="2">
        <v>-3.6390532999999998E-3</v>
      </c>
      <c r="E147" s="2">
        <v>0</v>
      </c>
      <c r="F147" s="2">
        <v>0.97458290000000003</v>
      </c>
      <c r="G147" s="2">
        <v>7.7800114000000002</v>
      </c>
      <c r="H147" s="2">
        <v>4.3048425999999997</v>
      </c>
      <c r="I147" s="2">
        <v>3.3240831000000002</v>
      </c>
      <c r="J147" s="2">
        <v>5.9024341000000005E-14</v>
      </c>
      <c r="K147" s="2">
        <v>-351040.63</v>
      </c>
      <c r="L147" s="2">
        <v>-1371.9363000000001</v>
      </c>
      <c r="M147" s="2">
        <v>292.27697000000001</v>
      </c>
      <c r="N147" s="2">
        <v>76.479043000000004</v>
      </c>
      <c r="O147" s="2">
        <v>65.093475999999995</v>
      </c>
      <c r="P147" s="2">
        <v>0</v>
      </c>
      <c r="R147" s="2">
        <f t="shared" si="10"/>
        <v>3.5569191834750002</v>
      </c>
      <c r="S147" s="2">
        <f t="shared" si="8"/>
        <v>1.3901144559750001E-2</v>
      </c>
      <c r="T147" s="2">
        <f t="shared" si="9"/>
        <v>-2.961496398525E-3</v>
      </c>
      <c r="U147" s="2">
        <f t="shared" si="11"/>
        <v>0.26369951449275364</v>
      </c>
    </row>
    <row r="148" spans="2:21" x14ac:dyDescent="0.3">
      <c r="B148" s="2">
        <v>69500</v>
      </c>
      <c r="C148" s="2">
        <v>1.3899999999999999E-2</v>
      </c>
      <c r="D148" s="2">
        <v>-3.7374883999999999E-3</v>
      </c>
      <c r="E148" s="2">
        <v>0</v>
      </c>
      <c r="F148" s="2">
        <v>0.99130666999999995</v>
      </c>
      <c r="G148" s="2">
        <v>7.8890305999999999</v>
      </c>
      <c r="H148" s="2">
        <v>4.3304818999999997</v>
      </c>
      <c r="I148" s="2">
        <v>3.4048704000000001</v>
      </c>
      <c r="J148" s="2">
        <v>6.0783155999999994E-14</v>
      </c>
      <c r="K148" s="2">
        <v>-352934.7</v>
      </c>
      <c r="L148" s="2">
        <v>453.06470000000002</v>
      </c>
      <c r="M148" s="2">
        <v>175.02663999999999</v>
      </c>
      <c r="N148" s="2">
        <v>76.486587</v>
      </c>
      <c r="O148" s="2">
        <v>65.087045000000003</v>
      </c>
      <c r="P148" s="2">
        <v>0</v>
      </c>
      <c r="R148" s="2">
        <f t="shared" si="10"/>
        <v>3.5761108477500003</v>
      </c>
      <c r="S148" s="2">
        <f t="shared" si="8"/>
        <v>-4.5906780727500004E-3</v>
      </c>
      <c r="T148" s="2">
        <f t="shared" si="9"/>
        <v>-1.7734574297999998E-3</v>
      </c>
      <c r="U148" s="2">
        <f t="shared" si="11"/>
        <v>0.26888405755395683</v>
      </c>
    </row>
    <row r="149" spans="2:21" x14ac:dyDescent="0.3">
      <c r="B149" s="2">
        <v>70000</v>
      </c>
      <c r="C149" s="2">
        <v>1.4E-2</v>
      </c>
      <c r="D149" s="2">
        <v>-3.7702921999999998E-3</v>
      </c>
      <c r="E149" s="2">
        <v>0</v>
      </c>
      <c r="F149" s="2">
        <v>0.99374998000000003</v>
      </c>
      <c r="G149" s="2">
        <v>8.0027836000000008</v>
      </c>
      <c r="H149" s="2">
        <v>4.3873791000000004</v>
      </c>
      <c r="I149" s="2">
        <v>3.4613472999999999</v>
      </c>
      <c r="J149" s="2">
        <v>5.9398042000000003E-14</v>
      </c>
      <c r="K149" s="2">
        <v>-355360.54</v>
      </c>
      <c r="L149" s="2">
        <v>603.23419999999999</v>
      </c>
      <c r="M149" s="2">
        <v>58.142271999999998</v>
      </c>
      <c r="N149" s="2">
        <v>76.494130999999996</v>
      </c>
      <c r="O149" s="2">
        <v>65.084902</v>
      </c>
      <c r="P149" s="2">
        <v>0</v>
      </c>
      <c r="R149" s="2">
        <f t="shared" si="10"/>
        <v>3.6006906715499998</v>
      </c>
      <c r="S149" s="2">
        <f t="shared" si="8"/>
        <v>-6.1122705314999998E-3</v>
      </c>
      <c r="T149" s="2">
        <f t="shared" si="9"/>
        <v>-5.8912657103999994E-4</v>
      </c>
      <c r="U149" s="2">
        <f t="shared" si="11"/>
        <v>0.26930658571428567</v>
      </c>
    </row>
    <row r="150" spans="2:21" x14ac:dyDescent="0.3">
      <c r="B150" s="2">
        <v>70500</v>
      </c>
      <c r="C150" s="2">
        <v>1.41E-2</v>
      </c>
      <c r="D150" s="2">
        <v>-3.7202568000000002E-3</v>
      </c>
      <c r="E150" s="2">
        <v>0</v>
      </c>
      <c r="F150" s="2">
        <v>1.0062732999999999</v>
      </c>
      <c r="G150" s="2">
        <v>8.1090473999999997</v>
      </c>
      <c r="H150" s="2">
        <v>4.4877925000000003</v>
      </c>
      <c r="I150" s="2">
        <v>3.4652563999999999</v>
      </c>
      <c r="J150" s="2">
        <v>6.1071592000000002E-14</v>
      </c>
      <c r="K150" s="2">
        <v>-358527.8</v>
      </c>
      <c r="L150" s="2">
        <v>-1262.5804000000001</v>
      </c>
      <c r="M150" s="2">
        <v>-51.661127999999998</v>
      </c>
      <c r="N150" s="2">
        <v>76.501675000000006</v>
      </c>
      <c r="O150" s="2">
        <v>65.088171000000003</v>
      </c>
      <c r="P150" s="2">
        <v>0</v>
      </c>
      <c r="R150" s="2">
        <f t="shared" si="10"/>
        <v>3.6327829334999997</v>
      </c>
      <c r="S150" s="2">
        <f t="shared" si="8"/>
        <v>1.2793095903E-2</v>
      </c>
      <c r="T150" s="2">
        <f t="shared" si="9"/>
        <v>5.2345637945999993E-4</v>
      </c>
      <c r="U150" s="2">
        <f t="shared" si="11"/>
        <v>0.26384800000000003</v>
      </c>
    </row>
    <row r="151" spans="2:21" x14ac:dyDescent="0.3">
      <c r="B151" s="2">
        <v>71000</v>
      </c>
      <c r="C151" s="2">
        <v>1.4200000000000001E-2</v>
      </c>
      <c r="D151" s="2">
        <v>-3.8479806000000002E-3</v>
      </c>
      <c r="E151" s="2">
        <v>0</v>
      </c>
      <c r="F151" s="2">
        <v>0.98296276000000005</v>
      </c>
      <c r="G151" s="2">
        <v>8.2137563999999994</v>
      </c>
      <c r="H151" s="2">
        <v>4.5033892</v>
      </c>
      <c r="I151" s="2">
        <v>3.5579824000000002</v>
      </c>
      <c r="J151" s="2">
        <v>5.9247940000000005E-14</v>
      </c>
      <c r="K151" s="2">
        <v>-360216.48</v>
      </c>
      <c r="L151" s="2">
        <v>1347.3177000000001</v>
      </c>
      <c r="M151" s="2">
        <v>-130.08024</v>
      </c>
      <c r="N151" s="2">
        <v>76.509218000000004</v>
      </c>
      <c r="O151" s="2">
        <v>65.079826999999995</v>
      </c>
      <c r="P151" s="2">
        <v>0</v>
      </c>
      <c r="R151" s="2">
        <f t="shared" si="10"/>
        <v>3.6498934835999997</v>
      </c>
      <c r="S151" s="2">
        <f t="shared" si="8"/>
        <v>-1.365169659525E-2</v>
      </c>
      <c r="T151" s="2">
        <f t="shared" si="9"/>
        <v>1.3180380318E-3</v>
      </c>
      <c r="U151" s="2">
        <f t="shared" si="11"/>
        <v>0.27098454929577465</v>
      </c>
    </row>
    <row r="152" spans="2:21" x14ac:dyDescent="0.3">
      <c r="B152" s="2">
        <v>71500</v>
      </c>
      <c r="C152" s="2">
        <v>1.43E-2</v>
      </c>
      <c r="D152" s="2">
        <v>-3.7901499999999999E-3</v>
      </c>
      <c r="E152" s="2">
        <v>0</v>
      </c>
      <c r="F152" s="2">
        <v>0.99162724000000002</v>
      </c>
      <c r="G152" s="2">
        <v>8.3220302000000004</v>
      </c>
      <c r="H152" s="2">
        <v>4.5919290999999998</v>
      </c>
      <c r="I152" s="2">
        <v>3.5763731000000001</v>
      </c>
      <c r="J152" s="2">
        <v>5.9451110999999997E-14</v>
      </c>
      <c r="K152" s="2">
        <v>-363199.24</v>
      </c>
      <c r="L152" s="2">
        <v>-1012.2333</v>
      </c>
      <c r="M152" s="2">
        <v>-214.97154</v>
      </c>
      <c r="N152" s="2">
        <v>76.516762</v>
      </c>
      <c r="O152" s="2">
        <v>65.083605000000006</v>
      </c>
      <c r="P152" s="2">
        <v>0</v>
      </c>
      <c r="R152" s="2">
        <f t="shared" si="10"/>
        <v>3.6801162992999998</v>
      </c>
      <c r="S152" s="2">
        <f t="shared" si="8"/>
        <v>1.025645391225E-2</v>
      </c>
      <c r="T152" s="2">
        <f t="shared" si="9"/>
        <v>2.1781991290499999E-3</v>
      </c>
      <c r="U152" s="2">
        <f t="shared" si="11"/>
        <v>0.26504545454545453</v>
      </c>
    </row>
    <row r="153" spans="2:21" x14ac:dyDescent="0.3">
      <c r="B153" s="2">
        <v>72000</v>
      </c>
      <c r="C153" s="2">
        <v>1.44E-2</v>
      </c>
      <c r="D153" s="2">
        <v>-3.8577593999999998E-3</v>
      </c>
      <c r="E153" s="2">
        <v>0</v>
      </c>
      <c r="F153" s="2">
        <v>0.97365908999999995</v>
      </c>
      <c r="G153" s="2">
        <v>8.4326550000000005</v>
      </c>
      <c r="H153" s="2">
        <v>4.6574888999999997</v>
      </c>
      <c r="I153" s="2">
        <v>3.6242236000000001</v>
      </c>
      <c r="J153" s="2">
        <v>6.0361494000000003E-14</v>
      </c>
      <c r="K153" s="2">
        <v>-365751.13</v>
      </c>
      <c r="L153" s="2">
        <v>502.53707000000003</v>
      </c>
      <c r="M153" s="2">
        <v>-279.29739999999998</v>
      </c>
      <c r="N153" s="2">
        <v>76.524305999999996</v>
      </c>
      <c r="O153" s="2">
        <v>65.079188000000002</v>
      </c>
      <c r="P153" s="2">
        <v>0</v>
      </c>
      <c r="R153" s="2">
        <f t="shared" si="10"/>
        <v>3.705973324725</v>
      </c>
      <c r="S153" s="2">
        <f t="shared" si="8"/>
        <v>-5.0919568617750002E-3</v>
      </c>
      <c r="T153" s="2">
        <f t="shared" si="9"/>
        <v>2.8299809054999998E-3</v>
      </c>
      <c r="U153" s="2">
        <f t="shared" si="11"/>
        <v>0.26789995833333335</v>
      </c>
    </row>
    <row r="154" spans="2:21" x14ac:dyDescent="0.3">
      <c r="B154" s="2">
        <v>72500</v>
      </c>
      <c r="C154" s="2">
        <v>1.4500000000000001E-2</v>
      </c>
      <c r="D154" s="2">
        <v>-3.8816544000000001E-3</v>
      </c>
      <c r="E154" s="2">
        <v>0</v>
      </c>
      <c r="F154" s="2">
        <v>0.99080836999999999</v>
      </c>
      <c r="G154" s="2">
        <v>8.5476161000000008</v>
      </c>
      <c r="H154" s="2">
        <v>4.6973089000000003</v>
      </c>
      <c r="I154" s="2">
        <v>3.6967061999999999</v>
      </c>
      <c r="J154" s="2">
        <v>5.8621329999999994E-14</v>
      </c>
      <c r="K154" s="2">
        <v>-367809</v>
      </c>
      <c r="L154" s="2">
        <v>-70.586276999999995</v>
      </c>
      <c r="M154" s="2">
        <v>-320.88384000000002</v>
      </c>
      <c r="N154" s="2">
        <v>76.531850000000006</v>
      </c>
      <c r="O154" s="2">
        <v>65.077627000000007</v>
      </c>
      <c r="P154" s="2">
        <v>0</v>
      </c>
      <c r="R154" s="2">
        <f t="shared" si="10"/>
        <v>3.7268246925000001</v>
      </c>
      <c r="S154" s="2">
        <f t="shared" si="8"/>
        <v>7.152154517025E-4</v>
      </c>
      <c r="T154" s="2">
        <f t="shared" si="9"/>
        <v>3.2513555088E-3</v>
      </c>
      <c r="U154" s="2">
        <f t="shared" si="11"/>
        <v>0.26770030344827583</v>
      </c>
    </row>
    <row r="155" spans="2:21" x14ac:dyDescent="0.3">
      <c r="B155" s="2">
        <v>73000</v>
      </c>
      <c r="C155" s="2">
        <v>1.46E-2</v>
      </c>
      <c r="D155" s="2">
        <v>-3.8904743999999998E-3</v>
      </c>
      <c r="E155" s="2">
        <v>0</v>
      </c>
      <c r="F155" s="2">
        <v>1.060033</v>
      </c>
      <c r="G155" s="2">
        <v>8.6665898000000006</v>
      </c>
      <c r="H155" s="2">
        <v>4.7844122999999996</v>
      </c>
      <c r="I155" s="2">
        <v>3.7178447999999999</v>
      </c>
      <c r="J155" s="2">
        <v>5.9467763999999997E-14</v>
      </c>
      <c r="K155" s="2">
        <v>-370745.81</v>
      </c>
      <c r="L155" s="2">
        <v>-147.46252000000001</v>
      </c>
      <c r="M155" s="2">
        <v>-357.31405000000001</v>
      </c>
      <c r="N155" s="2">
        <v>76.539394000000001</v>
      </c>
      <c r="O155" s="2">
        <v>65.077050999999997</v>
      </c>
      <c r="P155" s="2">
        <v>0</v>
      </c>
      <c r="R155" s="2">
        <f t="shared" si="10"/>
        <v>3.7565819198249999</v>
      </c>
      <c r="S155" s="2">
        <f t="shared" si="8"/>
        <v>1.4941639839000001E-3</v>
      </c>
      <c r="T155" s="2">
        <f t="shared" si="9"/>
        <v>3.620484611625E-3</v>
      </c>
      <c r="U155" s="2">
        <f t="shared" si="11"/>
        <v>0.26647084931506848</v>
      </c>
    </row>
    <row r="156" spans="2:21" x14ac:dyDescent="0.3">
      <c r="B156" s="2">
        <v>73500</v>
      </c>
      <c r="C156" s="2">
        <v>1.47E-2</v>
      </c>
      <c r="D156" s="2">
        <v>-3.9321065999999997E-3</v>
      </c>
      <c r="E156" s="2">
        <v>0</v>
      </c>
      <c r="F156" s="2">
        <v>0.99096989000000002</v>
      </c>
      <c r="G156" s="2">
        <v>8.7796073999999997</v>
      </c>
      <c r="H156" s="2">
        <v>4.8434416999999996</v>
      </c>
      <c r="I156" s="2">
        <v>3.7825397000000001</v>
      </c>
      <c r="J156" s="2">
        <v>5.9975580000000001E-14</v>
      </c>
      <c r="K156" s="2">
        <v>-373060.52</v>
      </c>
      <c r="L156" s="2">
        <v>190.94964999999999</v>
      </c>
      <c r="M156" s="2">
        <v>-372.73863999999998</v>
      </c>
      <c r="N156" s="2">
        <v>76.546937</v>
      </c>
      <c r="O156" s="2">
        <v>65.074331000000001</v>
      </c>
      <c r="P156" s="2">
        <v>0</v>
      </c>
      <c r="R156" s="2">
        <f t="shared" si="10"/>
        <v>3.7800357189000002</v>
      </c>
      <c r="S156" s="2">
        <f t="shared" si="8"/>
        <v>-1.9347973286249999E-3</v>
      </c>
      <c r="T156" s="2">
        <f t="shared" si="9"/>
        <v>3.7767742697999997E-3</v>
      </c>
      <c r="U156" s="2">
        <f t="shared" si="11"/>
        <v>0.2674902448979592</v>
      </c>
    </row>
    <row r="157" spans="2:21" x14ac:dyDescent="0.3">
      <c r="B157" s="2">
        <v>74000</v>
      </c>
      <c r="C157" s="2">
        <v>1.4800000000000001E-2</v>
      </c>
      <c r="D157" s="2">
        <v>-3.9539029999999999E-3</v>
      </c>
      <c r="E157" s="2">
        <v>0</v>
      </c>
      <c r="F157" s="2">
        <v>1.0123340000000001</v>
      </c>
      <c r="G157" s="2">
        <v>8.8918766999999992</v>
      </c>
      <c r="H157" s="2">
        <v>4.8954085000000003</v>
      </c>
      <c r="I157" s="2">
        <v>3.8395301000000002</v>
      </c>
      <c r="J157" s="2">
        <v>5.9956261999999995E-14</v>
      </c>
      <c r="K157" s="2">
        <v>-375368.93</v>
      </c>
      <c r="L157" s="2">
        <v>-165.90875</v>
      </c>
      <c r="M157" s="2">
        <v>-394.59636999999998</v>
      </c>
      <c r="N157" s="2">
        <v>76.554480999999996</v>
      </c>
      <c r="O157" s="2">
        <v>65.072907000000001</v>
      </c>
      <c r="P157" s="2">
        <v>0</v>
      </c>
      <c r="R157" s="2">
        <f t="shared" si="10"/>
        <v>3.803425683225</v>
      </c>
      <c r="S157" s="2">
        <f t="shared" si="8"/>
        <v>1.681070409375E-3</v>
      </c>
      <c r="T157" s="2">
        <f t="shared" si="9"/>
        <v>3.998247719025E-3</v>
      </c>
      <c r="U157" s="2">
        <f t="shared" si="11"/>
        <v>0.26715560810810807</v>
      </c>
    </row>
    <row r="158" spans="2:21" x14ac:dyDescent="0.3">
      <c r="B158" s="2">
        <v>74500</v>
      </c>
      <c r="C158" s="2">
        <v>1.49E-2</v>
      </c>
      <c r="D158" s="2">
        <v>-3.9743675999999997E-3</v>
      </c>
      <c r="E158" s="2">
        <v>0</v>
      </c>
      <c r="F158" s="2">
        <v>0.97683531999999995</v>
      </c>
      <c r="G158" s="2">
        <v>8.9976012000000001</v>
      </c>
      <c r="H158" s="2">
        <v>4.9835082999999996</v>
      </c>
      <c r="I158" s="2">
        <v>3.8626581</v>
      </c>
      <c r="J158" s="2">
        <v>5.9290794000000001E-14</v>
      </c>
      <c r="K158" s="2">
        <v>-378296.6</v>
      </c>
      <c r="L158" s="2">
        <v>146.58472</v>
      </c>
      <c r="M158" s="2">
        <v>-391.11115999999998</v>
      </c>
      <c r="N158" s="2">
        <v>76.562025000000006</v>
      </c>
      <c r="O158" s="2">
        <v>65.071569999999994</v>
      </c>
      <c r="P158" s="2">
        <v>0</v>
      </c>
      <c r="R158" s="2">
        <f t="shared" si="10"/>
        <v>3.8330902994999998</v>
      </c>
      <c r="S158" s="2">
        <f t="shared" si="8"/>
        <v>-1.4852696754E-3</v>
      </c>
      <c r="T158" s="2">
        <f t="shared" si="9"/>
        <v>3.9629338287000002E-3</v>
      </c>
      <c r="U158" s="2">
        <f t="shared" si="11"/>
        <v>0.26673608053691272</v>
      </c>
    </row>
    <row r="159" spans="2:21" x14ac:dyDescent="0.3">
      <c r="B159" s="2">
        <v>75000</v>
      </c>
      <c r="C159" s="2">
        <v>1.4999999999999999E-2</v>
      </c>
      <c r="D159" s="2">
        <v>-4.0067148999999996E-3</v>
      </c>
      <c r="E159" s="2">
        <v>0</v>
      </c>
      <c r="F159" s="2">
        <v>0.97453624000000005</v>
      </c>
      <c r="G159" s="2">
        <v>9.1168978000000003</v>
      </c>
      <c r="H159" s="2">
        <v>5.0257296</v>
      </c>
      <c r="I159" s="2">
        <v>3.9400898</v>
      </c>
      <c r="J159" s="2">
        <v>6.1524118999999996E-14</v>
      </c>
      <c r="K159" s="2">
        <v>-380344.8</v>
      </c>
      <c r="L159" s="2">
        <v>-142.73715999999999</v>
      </c>
      <c r="M159" s="2">
        <v>-389.64262000000002</v>
      </c>
      <c r="N159" s="2">
        <v>76.569569000000001</v>
      </c>
      <c r="O159" s="2">
        <v>65.069457</v>
      </c>
      <c r="P159" s="2">
        <v>0</v>
      </c>
      <c r="R159" s="2">
        <f t="shared" si="10"/>
        <v>3.8538436859999998</v>
      </c>
      <c r="S159" s="2">
        <f t="shared" si="8"/>
        <v>1.4462842736999999E-3</v>
      </c>
      <c r="T159" s="2">
        <f t="shared" si="9"/>
        <v>3.9480538471500003E-3</v>
      </c>
      <c r="U159" s="2">
        <f t="shared" si="11"/>
        <v>0.26711432666666668</v>
      </c>
    </row>
    <row r="160" spans="2:21" x14ac:dyDescent="0.3">
      <c r="B160" s="2">
        <v>75500</v>
      </c>
      <c r="C160" s="2">
        <v>1.5100000000000001E-2</v>
      </c>
      <c r="D160" s="2">
        <v>-4.0332709999999997E-3</v>
      </c>
      <c r="E160" s="2">
        <v>0</v>
      </c>
      <c r="F160" s="2">
        <v>1.0370337999999999</v>
      </c>
      <c r="G160" s="2">
        <v>9.2417362999999995</v>
      </c>
      <c r="H160" s="2">
        <v>5.1038218999999998</v>
      </c>
      <c r="I160" s="2">
        <v>3.9771472000000001</v>
      </c>
      <c r="J160" s="2">
        <v>6.1016525000000002E-14</v>
      </c>
      <c r="K160" s="2">
        <v>-383064.04</v>
      </c>
      <c r="L160" s="2">
        <v>151.24494999999999</v>
      </c>
      <c r="M160" s="2">
        <v>-389.37180000000001</v>
      </c>
      <c r="N160" s="2">
        <v>76.577112999999997</v>
      </c>
      <c r="O160" s="2">
        <v>65.067722000000003</v>
      </c>
      <c r="P160" s="2">
        <v>0</v>
      </c>
      <c r="R160" s="2">
        <f t="shared" si="10"/>
        <v>3.8813963853</v>
      </c>
      <c r="S160" s="2">
        <f t="shared" si="8"/>
        <v>-1.5324894558749998E-3</v>
      </c>
      <c r="T160" s="2">
        <f t="shared" si="9"/>
        <v>3.9453097635000003E-3</v>
      </c>
      <c r="U160" s="2">
        <f t="shared" si="11"/>
        <v>0.26710403973509933</v>
      </c>
    </row>
    <row r="161" spans="2:21" x14ac:dyDescent="0.3">
      <c r="B161" s="2">
        <v>76000</v>
      </c>
      <c r="C161" s="2">
        <v>1.52E-2</v>
      </c>
      <c r="D161" s="2">
        <v>-4.0469716999999997E-3</v>
      </c>
      <c r="E161" s="2">
        <v>0</v>
      </c>
      <c r="F161" s="2">
        <v>0.96715439000000003</v>
      </c>
      <c r="G161" s="2">
        <v>9.3619395000000001</v>
      </c>
      <c r="H161" s="2">
        <v>5.1851713999999998</v>
      </c>
      <c r="I161" s="2">
        <v>4.026834</v>
      </c>
      <c r="J161" s="2">
        <v>5.9731775000000004E-14</v>
      </c>
      <c r="K161" s="2">
        <v>-385655.3</v>
      </c>
      <c r="L161" s="2">
        <v>-148.14395999999999</v>
      </c>
      <c r="M161" s="2">
        <v>-374.18732999999997</v>
      </c>
      <c r="N161" s="2">
        <v>76.584655999999995</v>
      </c>
      <c r="O161" s="2">
        <v>65.066827000000004</v>
      </c>
      <c r="P161" s="2">
        <v>0</v>
      </c>
      <c r="R161" s="2">
        <f t="shared" si="10"/>
        <v>3.9076523272499997</v>
      </c>
      <c r="S161" s="2">
        <f t="shared" si="8"/>
        <v>1.5010686747E-3</v>
      </c>
      <c r="T161" s="2">
        <f t="shared" si="9"/>
        <v>3.7914531212249998E-3</v>
      </c>
      <c r="U161" s="2">
        <f t="shared" si="11"/>
        <v>0.26624813815789472</v>
      </c>
    </row>
    <row r="162" spans="2:21" x14ac:dyDescent="0.3">
      <c r="B162" s="2">
        <v>76500</v>
      </c>
      <c r="C162" s="2">
        <v>1.5299999999999999E-2</v>
      </c>
      <c r="D162" s="2">
        <v>-4.0911736000000002E-3</v>
      </c>
      <c r="E162" s="2">
        <v>0</v>
      </c>
      <c r="F162" s="2">
        <v>1.0209292999999999</v>
      </c>
      <c r="G162" s="2">
        <v>9.4836925000000001</v>
      </c>
      <c r="H162" s="2">
        <v>5.2272723000000001</v>
      </c>
      <c r="I162" s="2">
        <v>4.0981496000000002</v>
      </c>
      <c r="J162" s="2">
        <v>6.1416426999999998E-14</v>
      </c>
      <c r="K162" s="2">
        <v>-387748.06</v>
      </c>
      <c r="L162" s="2">
        <v>33.710622000000001</v>
      </c>
      <c r="M162" s="2">
        <v>-361.38970999999998</v>
      </c>
      <c r="N162" s="2">
        <v>76.592200000000005</v>
      </c>
      <c r="O162" s="2">
        <v>65.063939000000005</v>
      </c>
      <c r="P162" s="2">
        <v>0</v>
      </c>
      <c r="R162" s="2">
        <f t="shared" si="10"/>
        <v>3.9288572179500001</v>
      </c>
      <c r="S162" s="2">
        <f t="shared" si="8"/>
        <v>-3.4157287741500003E-4</v>
      </c>
      <c r="T162" s="2">
        <f t="shared" si="9"/>
        <v>3.6617812365749998E-3</v>
      </c>
      <c r="U162" s="2">
        <f t="shared" si="11"/>
        <v>0.26739696732026147</v>
      </c>
    </row>
    <row r="163" spans="2:21" x14ac:dyDescent="0.3">
      <c r="B163" s="2">
        <v>77000</v>
      </c>
      <c r="C163" s="2">
        <v>1.54E-2</v>
      </c>
      <c r="D163" s="2">
        <v>-4.1092578999999997E-3</v>
      </c>
      <c r="E163" s="2">
        <v>0</v>
      </c>
      <c r="F163" s="2">
        <v>1.0498726</v>
      </c>
      <c r="G163" s="2">
        <v>9.6099712000000004</v>
      </c>
      <c r="H163" s="2">
        <v>5.3261582000000001</v>
      </c>
      <c r="I163" s="2">
        <v>4.1210554000000004</v>
      </c>
      <c r="J163" s="2">
        <v>6.0785154999999994E-14</v>
      </c>
      <c r="K163" s="2">
        <v>-390723.73</v>
      </c>
      <c r="L163" s="2">
        <v>340.98149999999998</v>
      </c>
      <c r="M163" s="2">
        <v>-335.92941999999999</v>
      </c>
      <c r="N163" s="2">
        <v>76.599744000000001</v>
      </c>
      <c r="O163" s="2">
        <v>65.062757000000005</v>
      </c>
      <c r="P163" s="2">
        <v>0</v>
      </c>
      <c r="R163" s="2">
        <f t="shared" si="10"/>
        <v>3.9590081942249999</v>
      </c>
      <c r="S163" s="2">
        <f t="shared" si="8"/>
        <v>-3.4549950487499999E-3</v>
      </c>
      <c r="T163" s="2">
        <f t="shared" si="9"/>
        <v>3.4038048481499997E-3</v>
      </c>
      <c r="U163" s="2">
        <f t="shared" si="11"/>
        <v>0.26683492857142854</v>
      </c>
    </row>
    <row r="164" spans="2:21" x14ac:dyDescent="0.3">
      <c r="B164" s="2">
        <v>77500</v>
      </c>
      <c r="C164" s="2">
        <v>1.55E-2</v>
      </c>
      <c r="D164" s="2">
        <v>-4.1141696000000002E-3</v>
      </c>
      <c r="E164" s="2">
        <v>0</v>
      </c>
      <c r="F164" s="2">
        <v>0.98691613</v>
      </c>
      <c r="G164" s="2">
        <v>9.7139168999999992</v>
      </c>
      <c r="H164" s="2">
        <v>5.3744579000000003</v>
      </c>
      <c r="I164" s="2">
        <v>4.1864613000000004</v>
      </c>
      <c r="J164" s="2">
        <v>5.9265258999999998E-14</v>
      </c>
      <c r="K164" s="2">
        <v>-392878.51</v>
      </c>
      <c r="L164" s="2">
        <v>-776.43706999999995</v>
      </c>
      <c r="M164" s="2">
        <v>-275.61577</v>
      </c>
      <c r="N164" s="2">
        <v>76.607287999999997</v>
      </c>
      <c r="O164" s="2">
        <v>65.062436000000005</v>
      </c>
      <c r="P164" s="2">
        <v>0</v>
      </c>
      <c r="R164" s="2">
        <f t="shared" si="10"/>
        <v>3.9808415025750001</v>
      </c>
      <c r="S164" s="2">
        <f t="shared" si="8"/>
        <v>7.867248611774999E-3</v>
      </c>
      <c r="T164" s="2">
        <f t="shared" si="9"/>
        <v>2.7926767895250001E-3</v>
      </c>
      <c r="U164" s="2">
        <f t="shared" si="11"/>
        <v>0.26543029677419355</v>
      </c>
    </row>
    <row r="165" spans="2:21" x14ac:dyDescent="0.3">
      <c r="B165" s="2">
        <v>78000</v>
      </c>
      <c r="C165" s="2">
        <v>1.5599999999999999E-2</v>
      </c>
      <c r="D165" s="2">
        <v>-4.1978878999999998E-3</v>
      </c>
      <c r="E165" s="2">
        <v>0</v>
      </c>
      <c r="F165" s="2">
        <v>0.98647171</v>
      </c>
      <c r="G165" s="2">
        <v>9.8367819000000001</v>
      </c>
      <c r="H165" s="2">
        <v>5.4381459999999997</v>
      </c>
      <c r="I165" s="2">
        <v>4.2457072</v>
      </c>
      <c r="J165" s="2">
        <v>6.0448978999999998E-14</v>
      </c>
      <c r="K165" s="2">
        <v>-395373.55</v>
      </c>
      <c r="L165" s="2">
        <v>1230.4059</v>
      </c>
      <c r="M165" s="2">
        <v>-208.37956</v>
      </c>
      <c r="N165" s="2">
        <v>76.614832000000007</v>
      </c>
      <c r="O165" s="2">
        <v>65.056967</v>
      </c>
      <c r="P165" s="2">
        <v>0</v>
      </c>
      <c r="R165" s="2">
        <f t="shared" si="10"/>
        <v>4.0061224953750001</v>
      </c>
      <c r="S165" s="2">
        <f t="shared" si="8"/>
        <v>-1.246708778175E-2</v>
      </c>
      <c r="T165" s="2">
        <f t="shared" si="9"/>
        <v>2.1114058917000001E-3</v>
      </c>
      <c r="U165" s="2">
        <f t="shared" si="11"/>
        <v>0.26909537820512819</v>
      </c>
    </row>
    <row r="166" spans="2:21" x14ac:dyDescent="0.3">
      <c r="B166" s="2">
        <v>78500</v>
      </c>
      <c r="C166" s="2">
        <v>1.5699999999999999E-2</v>
      </c>
      <c r="D166" s="2">
        <v>-4.1280858000000004E-3</v>
      </c>
      <c r="E166" s="2">
        <v>0</v>
      </c>
      <c r="F166" s="2">
        <v>0.98275296000000001</v>
      </c>
      <c r="G166" s="2">
        <v>9.9612578999999997</v>
      </c>
      <c r="H166" s="2">
        <v>5.5365225999999996</v>
      </c>
      <c r="I166" s="2">
        <v>4.2723830999999999</v>
      </c>
      <c r="J166" s="2">
        <v>5.9352523000000001E-14</v>
      </c>
      <c r="K166" s="2">
        <v>-398232.22</v>
      </c>
      <c r="L166" s="2">
        <v>-1645.3056999999999</v>
      </c>
      <c r="M166" s="2">
        <v>-140.91354999999999</v>
      </c>
      <c r="N166" s="2">
        <v>76.622375000000005</v>
      </c>
      <c r="O166" s="2">
        <v>65.061526999999998</v>
      </c>
      <c r="P166" s="2">
        <v>0</v>
      </c>
      <c r="R166" s="2">
        <f t="shared" si="10"/>
        <v>4.0350879691500001</v>
      </c>
      <c r="S166" s="2">
        <f t="shared" si="8"/>
        <v>1.667106000525E-2</v>
      </c>
      <c r="T166" s="2">
        <f t="shared" si="9"/>
        <v>1.4278065453749999E-3</v>
      </c>
      <c r="U166" s="2">
        <f t="shared" si="11"/>
        <v>0.26293540127388537</v>
      </c>
    </row>
    <row r="167" spans="2:21" x14ac:dyDescent="0.3">
      <c r="B167" s="2">
        <v>79000</v>
      </c>
      <c r="C167" s="2">
        <v>1.5800000000000002E-2</v>
      </c>
      <c r="D167" s="2">
        <v>-4.2803127999999999E-3</v>
      </c>
      <c r="E167" s="2">
        <v>0</v>
      </c>
      <c r="F167" s="2">
        <v>1.0065785</v>
      </c>
      <c r="G167" s="2">
        <v>10.092938</v>
      </c>
      <c r="H167" s="2">
        <v>5.5596969999999999</v>
      </c>
      <c r="I167" s="2">
        <v>4.3771953000000003</v>
      </c>
      <c r="J167" s="2">
        <v>6.2138071999999994E-14</v>
      </c>
      <c r="K167" s="2">
        <v>-400001.18</v>
      </c>
      <c r="L167" s="2">
        <v>1903.0661</v>
      </c>
      <c r="M167" s="2">
        <v>-64.910899999999998</v>
      </c>
      <c r="N167" s="2">
        <v>76.629919000000001</v>
      </c>
      <c r="O167" s="2">
        <v>65.051581999999996</v>
      </c>
      <c r="P167" s="2">
        <v>0</v>
      </c>
      <c r="R167" s="2">
        <f t="shared" si="10"/>
        <v>4.0530119563499998</v>
      </c>
      <c r="S167" s="2">
        <f t="shared" si="8"/>
        <v>-1.9282817258249998E-2</v>
      </c>
      <c r="T167" s="2">
        <f t="shared" si="9"/>
        <v>6.5770969424999996E-4</v>
      </c>
      <c r="U167" s="2">
        <f t="shared" si="11"/>
        <v>0.27090587341772149</v>
      </c>
    </row>
    <row r="168" spans="2:21" x14ac:dyDescent="0.3">
      <c r="B168" s="2">
        <v>79500</v>
      </c>
      <c r="C168" s="2">
        <v>1.5900000000000001E-2</v>
      </c>
      <c r="D168" s="2">
        <v>-4.1663361999999997E-3</v>
      </c>
      <c r="E168" s="2">
        <v>0</v>
      </c>
      <c r="F168" s="2">
        <v>1.0295694</v>
      </c>
      <c r="G168" s="2">
        <v>10.200782</v>
      </c>
      <c r="H168" s="2">
        <v>5.6830615</v>
      </c>
      <c r="I168" s="2">
        <v>4.3581108999999998</v>
      </c>
      <c r="J168" s="2">
        <v>6.0291104999999998E-14</v>
      </c>
      <c r="K168" s="2">
        <v>-403423.59</v>
      </c>
      <c r="L168" s="2">
        <v>-1851.6407999999999</v>
      </c>
      <c r="M168" s="2">
        <v>25.950005000000001</v>
      </c>
      <c r="N168" s="2">
        <v>76.637462999999997</v>
      </c>
      <c r="O168" s="2">
        <v>65.059027999999998</v>
      </c>
      <c r="P168" s="2">
        <v>0</v>
      </c>
      <c r="R168" s="2">
        <f t="shared" si="10"/>
        <v>4.0876895256750005</v>
      </c>
      <c r="S168" s="2">
        <f t="shared" si="8"/>
        <v>1.8761750405999998E-2</v>
      </c>
      <c r="T168" s="2">
        <f t="shared" si="9"/>
        <v>-2.6293842566250003E-4</v>
      </c>
      <c r="U168" s="2">
        <f t="shared" si="11"/>
        <v>0.26203372327044022</v>
      </c>
    </row>
    <row r="169" spans="2:21" x14ac:dyDescent="0.3">
      <c r="B169" s="2">
        <v>80000</v>
      </c>
      <c r="C169" s="2">
        <v>1.6E-2</v>
      </c>
      <c r="D169" s="2">
        <v>-4.3210250999999996E-3</v>
      </c>
      <c r="E169" s="2">
        <v>0</v>
      </c>
      <c r="F169" s="2">
        <v>0.96214018999999995</v>
      </c>
      <c r="G169" s="2">
        <v>10.325828</v>
      </c>
      <c r="H169" s="2">
        <v>5.6959463000000001</v>
      </c>
      <c r="I169" s="2">
        <v>4.4807245</v>
      </c>
      <c r="J169" s="2">
        <v>5.9453774999999997E-14</v>
      </c>
      <c r="K169" s="2">
        <v>-404948.41</v>
      </c>
      <c r="L169" s="2">
        <v>1492.8317</v>
      </c>
      <c r="M169" s="2">
        <v>106.44242</v>
      </c>
      <c r="N169" s="2">
        <v>76.645007000000007</v>
      </c>
      <c r="O169" s="2">
        <v>65.048922000000005</v>
      </c>
      <c r="P169" s="2">
        <v>0</v>
      </c>
      <c r="R169" s="2">
        <f t="shared" si="10"/>
        <v>4.1031397643249994</v>
      </c>
      <c r="S169" s="2">
        <f t="shared" si="8"/>
        <v>-1.512611720025E-2</v>
      </c>
      <c r="T169" s="2">
        <f t="shared" si="9"/>
        <v>-1.0785278206499999E-3</v>
      </c>
      <c r="U169" s="2">
        <f t="shared" si="11"/>
        <v>0.27006406875</v>
      </c>
    </row>
    <row r="170" spans="2:21" x14ac:dyDescent="0.3">
      <c r="B170" s="2">
        <v>80500</v>
      </c>
      <c r="C170" s="2">
        <v>1.61E-2</v>
      </c>
      <c r="D170" s="2">
        <v>-4.2465793999999996E-3</v>
      </c>
      <c r="E170" s="2">
        <v>0</v>
      </c>
      <c r="F170" s="2">
        <v>1.018402</v>
      </c>
      <c r="G170" s="2">
        <v>10.455506</v>
      </c>
      <c r="H170" s="2">
        <v>5.8256243000000003</v>
      </c>
      <c r="I170" s="2">
        <v>4.4720027</v>
      </c>
      <c r="J170" s="2">
        <v>5.9755090000000003E-14</v>
      </c>
      <c r="K170" s="2">
        <v>-408259.79</v>
      </c>
      <c r="L170" s="2">
        <v>-987.05206999999996</v>
      </c>
      <c r="M170" s="2">
        <v>219.37258</v>
      </c>
      <c r="N170" s="2">
        <v>76.652551000000003</v>
      </c>
      <c r="O170" s="2">
        <v>65.053786000000002</v>
      </c>
      <c r="P170" s="2">
        <v>0</v>
      </c>
      <c r="R170" s="2">
        <f t="shared" si="10"/>
        <v>4.1366923221749996</v>
      </c>
      <c r="S170" s="2">
        <f t="shared" si="8"/>
        <v>1.0001305099275E-2</v>
      </c>
      <c r="T170" s="2">
        <f t="shared" si="9"/>
        <v>-2.22279266685E-3</v>
      </c>
      <c r="U170" s="2">
        <f t="shared" si="11"/>
        <v>0.26376269565217392</v>
      </c>
    </row>
    <row r="171" spans="2:21" x14ac:dyDescent="0.3">
      <c r="B171" s="2">
        <v>81000</v>
      </c>
      <c r="C171" s="2">
        <v>1.6199999999999999E-2</v>
      </c>
      <c r="D171" s="2">
        <v>-4.3366762000000003E-3</v>
      </c>
      <c r="E171" s="2">
        <v>0</v>
      </c>
      <c r="F171" s="2">
        <v>0.96279990999999998</v>
      </c>
      <c r="G171" s="2">
        <v>10.583961</v>
      </c>
      <c r="H171" s="2">
        <v>5.8586479999999996</v>
      </c>
      <c r="I171" s="2">
        <v>4.5760535999999998</v>
      </c>
      <c r="J171" s="2">
        <v>6.0351946000000006E-14</v>
      </c>
      <c r="K171" s="2">
        <v>-410142.9</v>
      </c>
      <c r="L171" s="2">
        <v>523.92377999999997</v>
      </c>
      <c r="M171" s="2">
        <v>321.70006000000001</v>
      </c>
      <c r="N171" s="2">
        <v>76.660094000000001</v>
      </c>
      <c r="O171" s="2">
        <v>65.047899999999998</v>
      </c>
      <c r="P171" s="2">
        <v>0</v>
      </c>
      <c r="R171" s="2">
        <f t="shared" si="10"/>
        <v>4.1557729342499998</v>
      </c>
      <c r="S171" s="2">
        <f t="shared" si="8"/>
        <v>-5.30865770085E-3</v>
      </c>
      <c r="T171" s="2">
        <f t="shared" si="9"/>
        <v>-3.25962585795E-3</v>
      </c>
      <c r="U171" s="2">
        <f t="shared" si="11"/>
        <v>0.26769606172839511</v>
      </c>
    </row>
    <row r="172" spans="2:21" x14ac:dyDescent="0.3">
      <c r="B172" s="2">
        <v>81500</v>
      </c>
      <c r="C172" s="2">
        <v>1.6299999999999999E-2</v>
      </c>
      <c r="D172" s="2">
        <v>-4.3300075E-3</v>
      </c>
      <c r="E172" s="2">
        <v>0</v>
      </c>
      <c r="F172" s="2">
        <v>0.97188733999999999</v>
      </c>
      <c r="G172" s="2">
        <v>10.705558</v>
      </c>
      <c r="H172" s="2">
        <v>5.9516473000000003</v>
      </c>
      <c r="I172" s="2">
        <v>4.6032425999999997</v>
      </c>
      <c r="J172" s="2">
        <v>5.9651838999999994E-14</v>
      </c>
      <c r="K172" s="2">
        <v>-412953.46</v>
      </c>
      <c r="L172" s="2">
        <v>-207.30280999999999</v>
      </c>
      <c r="M172" s="2">
        <v>411.41573</v>
      </c>
      <c r="N172" s="2">
        <v>76.667637999999997</v>
      </c>
      <c r="O172" s="2">
        <v>65.048334999999994</v>
      </c>
      <c r="P172" s="2">
        <v>0</v>
      </c>
      <c r="R172" s="2">
        <f t="shared" si="10"/>
        <v>4.1842509334500004</v>
      </c>
      <c r="S172" s="2">
        <f t="shared" si="8"/>
        <v>2.1004957223250001E-3</v>
      </c>
      <c r="T172" s="2">
        <f t="shared" si="9"/>
        <v>-4.1686698842250004E-3</v>
      </c>
      <c r="U172" s="2">
        <f t="shared" si="11"/>
        <v>0.26564463190184051</v>
      </c>
    </row>
    <row r="173" spans="2:21" x14ac:dyDescent="0.3">
      <c r="B173" s="2">
        <v>82000</v>
      </c>
      <c r="C173" s="2">
        <v>1.6400000000000001E-2</v>
      </c>
      <c r="D173" s="2">
        <v>-4.3636163000000004E-3</v>
      </c>
      <c r="E173" s="2">
        <v>0</v>
      </c>
      <c r="F173" s="2">
        <v>0.98505832999999998</v>
      </c>
      <c r="G173" s="2">
        <v>10.828222</v>
      </c>
      <c r="H173" s="2">
        <v>6.0154056000000002</v>
      </c>
      <c r="I173" s="2">
        <v>4.6601062999999998</v>
      </c>
      <c r="J173" s="2">
        <v>5.9612980999999998E-14</v>
      </c>
      <c r="K173" s="2">
        <v>-415383.7</v>
      </c>
      <c r="L173" s="2">
        <v>-1.6374955</v>
      </c>
      <c r="M173" s="2">
        <v>446.06817000000001</v>
      </c>
      <c r="N173" s="2">
        <v>76.675182000000007</v>
      </c>
      <c r="O173" s="2">
        <v>65.046139999999994</v>
      </c>
      <c r="P173" s="2">
        <v>0</v>
      </c>
      <c r="R173" s="2">
        <f t="shared" si="10"/>
        <v>4.2088753402500005</v>
      </c>
      <c r="S173" s="2">
        <f t="shared" si="8"/>
        <v>1.6591923153750001E-5</v>
      </c>
      <c r="T173" s="2">
        <f t="shared" si="9"/>
        <v>-4.519785732525E-3</v>
      </c>
      <c r="U173" s="2">
        <f t="shared" si="11"/>
        <v>0.26607416463414635</v>
      </c>
    </row>
    <row r="174" spans="2:21" x14ac:dyDescent="0.3">
      <c r="B174" s="2">
        <v>82500</v>
      </c>
      <c r="C174" s="2">
        <v>1.6500000000000001E-2</v>
      </c>
      <c r="D174" s="2">
        <v>-4.3991593999999998E-3</v>
      </c>
      <c r="E174" s="2">
        <v>0</v>
      </c>
      <c r="F174" s="2">
        <v>0.95948816000000003</v>
      </c>
      <c r="G174" s="2">
        <v>10.956374</v>
      </c>
      <c r="H174" s="2">
        <v>6.0825604999999996</v>
      </c>
      <c r="I174" s="2">
        <v>4.7250683000000002</v>
      </c>
      <c r="J174" s="2">
        <v>5.8155479999999995E-14</v>
      </c>
      <c r="K174" s="2">
        <v>-417680.47</v>
      </c>
      <c r="L174" s="2">
        <v>133.33449999999999</v>
      </c>
      <c r="M174" s="2">
        <v>425.67820999999998</v>
      </c>
      <c r="N174" s="2">
        <v>76.682726000000002</v>
      </c>
      <c r="O174" s="2">
        <v>65.043818000000002</v>
      </c>
      <c r="P174" s="2">
        <v>0</v>
      </c>
      <c r="R174" s="2">
        <f t="shared" si="10"/>
        <v>4.2321473622749997</v>
      </c>
      <c r="S174" s="2">
        <f t="shared" si="8"/>
        <v>-1.3510118212499999E-3</v>
      </c>
      <c r="T174" s="2">
        <f t="shared" si="9"/>
        <v>-4.313184462825E-3</v>
      </c>
      <c r="U174" s="2">
        <f t="shared" si="11"/>
        <v>0.26661572121212118</v>
      </c>
    </row>
    <row r="175" spans="2:21" x14ac:dyDescent="0.3">
      <c r="B175" s="2">
        <v>83000</v>
      </c>
      <c r="C175" s="2">
        <v>1.66E-2</v>
      </c>
      <c r="D175" s="2">
        <v>-4.4021572000000004E-3</v>
      </c>
      <c r="E175" s="2">
        <v>0</v>
      </c>
      <c r="F175" s="2">
        <v>1.0567574</v>
      </c>
      <c r="G175" s="2">
        <v>11.090156</v>
      </c>
      <c r="H175" s="2">
        <v>6.1714105000000004</v>
      </c>
      <c r="I175" s="2">
        <v>4.7549206000000002</v>
      </c>
      <c r="J175" s="2">
        <v>6.0235372000000004E-14</v>
      </c>
      <c r="K175" s="2">
        <v>-420525.76</v>
      </c>
      <c r="L175" s="2">
        <v>-228.02314999999999</v>
      </c>
      <c r="M175" s="2">
        <v>340.77884999999998</v>
      </c>
      <c r="N175" s="2">
        <v>76.690269999999998</v>
      </c>
      <c r="O175" s="2">
        <v>65.043621999999999</v>
      </c>
      <c r="P175" s="2">
        <v>0</v>
      </c>
      <c r="R175" s="2">
        <f t="shared" si="10"/>
        <v>4.2609772632</v>
      </c>
      <c r="S175" s="2">
        <f t="shared" si="8"/>
        <v>2.3104445673749999E-3</v>
      </c>
      <c r="T175" s="2">
        <f t="shared" si="9"/>
        <v>-3.4529416976249996E-3</v>
      </c>
      <c r="U175" s="2">
        <f t="shared" si="11"/>
        <v>0.26519019277108435</v>
      </c>
    </row>
    <row r="176" spans="2:21" x14ac:dyDescent="0.3">
      <c r="B176" s="2">
        <v>83500</v>
      </c>
      <c r="C176" s="2">
        <v>1.67E-2</v>
      </c>
      <c r="D176" s="2">
        <v>-4.4598201000000002E-3</v>
      </c>
      <c r="E176" s="2">
        <v>0</v>
      </c>
      <c r="F176" s="2">
        <v>1.0447869000000001</v>
      </c>
      <c r="G176" s="2">
        <v>11.223077999999999</v>
      </c>
      <c r="H176" s="2">
        <v>6.2148165000000004</v>
      </c>
      <c r="I176" s="2">
        <v>4.8462921000000003</v>
      </c>
      <c r="J176" s="2">
        <v>5.9841242999999998E-14</v>
      </c>
      <c r="K176" s="2">
        <v>-422504.99</v>
      </c>
      <c r="L176" s="2">
        <v>288.65607999999997</v>
      </c>
      <c r="M176" s="2">
        <v>191.32426000000001</v>
      </c>
      <c r="N176" s="2">
        <v>76.697812999999996</v>
      </c>
      <c r="O176" s="2">
        <v>65.039855000000003</v>
      </c>
      <c r="P176" s="2">
        <v>0</v>
      </c>
      <c r="R176" s="2">
        <f t="shared" si="10"/>
        <v>4.2810318111749996</v>
      </c>
      <c r="S176" s="2">
        <f t="shared" si="8"/>
        <v>-2.9248077305999995E-3</v>
      </c>
      <c r="T176" s="2">
        <f t="shared" si="9"/>
        <v>-1.9385930644500002E-3</v>
      </c>
      <c r="U176" s="2">
        <f t="shared" si="11"/>
        <v>0.26705509580838327</v>
      </c>
    </row>
    <row r="177" spans="2:21" x14ac:dyDescent="0.3">
      <c r="B177" s="2">
        <v>84000</v>
      </c>
      <c r="C177" s="2">
        <v>1.6799999999999999E-2</v>
      </c>
      <c r="D177" s="2">
        <v>-4.44868E-3</v>
      </c>
      <c r="E177" s="2">
        <v>0</v>
      </c>
      <c r="F177" s="2">
        <v>1.0528706000000001</v>
      </c>
      <c r="G177" s="2">
        <v>11.346791</v>
      </c>
      <c r="H177" s="2">
        <v>6.3232873999999999</v>
      </c>
      <c r="I177" s="2">
        <v>4.8602812000000002</v>
      </c>
      <c r="J177" s="2">
        <v>5.9336535999999995E-14</v>
      </c>
      <c r="K177" s="2">
        <v>-425563.73</v>
      </c>
      <c r="L177" s="2">
        <v>-304.65219999999999</v>
      </c>
      <c r="M177" s="2">
        <v>5.3336068000000001</v>
      </c>
      <c r="N177" s="2">
        <v>76.705357000000006</v>
      </c>
      <c r="O177" s="2">
        <v>65.040582000000001</v>
      </c>
      <c r="P177" s="2">
        <v>0</v>
      </c>
      <c r="R177" s="2">
        <f t="shared" si="10"/>
        <v>4.3120244942249997</v>
      </c>
      <c r="S177" s="2">
        <f t="shared" si="8"/>
        <v>3.0868884164999997E-3</v>
      </c>
      <c r="T177" s="2">
        <f t="shared" si="9"/>
        <v>-5.4042770901E-5</v>
      </c>
      <c r="U177" s="2">
        <f t="shared" si="11"/>
        <v>0.26480238095238096</v>
      </c>
    </row>
    <row r="178" spans="2:21" x14ac:dyDescent="0.3">
      <c r="B178" s="2">
        <v>84500</v>
      </c>
      <c r="C178" s="2">
        <v>1.6899999999999998E-2</v>
      </c>
      <c r="D178" s="2">
        <v>-4.5123749999999999E-3</v>
      </c>
      <c r="E178" s="2">
        <v>0</v>
      </c>
      <c r="F178" s="2">
        <v>0.95204476000000005</v>
      </c>
      <c r="G178" s="2">
        <v>11.473117999999999</v>
      </c>
      <c r="H178" s="2">
        <v>6.3647039999999997</v>
      </c>
      <c r="I178" s="2">
        <v>4.9608220999999997</v>
      </c>
      <c r="J178" s="2">
        <v>5.9760640999999994E-14</v>
      </c>
      <c r="K178" s="2">
        <v>-427448.05</v>
      </c>
      <c r="L178" s="2">
        <v>307.62777</v>
      </c>
      <c r="M178" s="2">
        <v>-186.18979999999999</v>
      </c>
      <c r="N178" s="2">
        <v>76.712901000000002</v>
      </c>
      <c r="O178" s="2">
        <v>65.036421000000004</v>
      </c>
      <c r="P178" s="2">
        <v>0</v>
      </c>
      <c r="R178" s="2">
        <f t="shared" si="10"/>
        <v>4.3311173666249996</v>
      </c>
      <c r="S178" s="2">
        <f t="shared" si="8"/>
        <v>-3.1170383795249999E-3</v>
      </c>
      <c r="T178" s="2">
        <f t="shared" si="9"/>
        <v>1.8865681485E-3</v>
      </c>
      <c r="U178" s="2">
        <f t="shared" si="11"/>
        <v>0.26700443786982253</v>
      </c>
    </row>
    <row r="179" spans="2:21" x14ac:dyDescent="0.3">
      <c r="B179" s="2">
        <v>85000</v>
      </c>
      <c r="C179" s="2">
        <v>1.7000000000000001E-2</v>
      </c>
      <c r="D179" s="2">
        <v>-4.5005855000000003E-3</v>
      </c>
      <c r="E179" s="2">
        <v>0</v>
      </c>
      <c r="F179" s="2">
        <v>0.98230346000000002</v>
      </c>
      <c r="G179" s="2">
        <v>11.603348</v>
      </c>
      <c r="H179" s="2">
        <v>6.4762079000000004</v>
      </c>
      <c r="I179" s="2">
        <v>4.9748577000000003</v>
      </c>
      <c r="J179" s="2">
        <v>5.7102989000000002E-14</v>
      </c>
      <c r="K179" s="2">
        <v>-430491.88</v>
      </c>
      <c r="L179" s="2">
        <v>-314.77731</v>
      </c>
      <c r="M179" s="2">
        <v>-325.76240999999999</v>
      </c>
      <c r="N179" s="2">
        <v>76.720444999999998</v>
      </c>
      <c r="O179" s="2">
        <v>65.037191000000007</v>
      </c>
      <c r="P179" s="2">
        <v>0</v>
      </c>
      <c r="R179" s="2">
        <f t="shared" si="10"/>
        <v>4.3619589741000002</v>
      </c>
      <c r="S179" s="2">
        <f t="shared" si="8"/>
        <v>3.1894810935749998E-3</v>
      </c>
      <c r="T179" s="2">
        <f t="shared" si="9"/>
        <v>3.300787619325E-3</v>
      </c>
      <c r="U179" s="2">
        <f t="shared" si="11"/>
        <v>0.26474032352941174</v>
      </c>
    </row>
    <row r="180" spans="2:21" x14ac:dyDescent="0.3">
      <c r="B180" s="2">
        <v>85500</v>
      </c>
      <c r="C180" s="2">
        <v>1.7100000000000001E-2</v>
      </c>
      <c r="D180" s="2">
        <v>-4.5634921000000002E-3</v>
      </c>
      <c r="E180" s="2">
        <v>0</v>
      </c>
      <c r="F180" s="2">
        <v>0.97030194999999997</v>
      </c>
      <c r="G180" s="2">
        <v>11.739333999999999</v>
      </c>
      <c r="H180" s="2">
        <v>6.5142851999999998</v>
      </c>
      <c r="I180" s="2">
        <v>5.0746270000000004</v>
      </c>
      <c r="J180" s="2">
        <v>5.9122262999999995E-14</v>
      </c>
      <c r="K180" s="2">
        <v>-432446.54</v>
      </c>
      <c r="L180" s="2">
        <v>343.31299000000001</v>
      </c>
      <c r="M180" s="2">
        <v>-407.03129999999999</v>
      </c>
      <c r="N180" s="2">
        <v>76.727988999999994</v>
      </c>
      <c r="O180" s="2">
        <v>65.033081999999993</v>
      </c>
      <c r="P180" s="2">
        <v>0</v>
      </c>
      <c r="R180" s="2">
        <f t="shared" si="10"/>
        <v>4.3817645665499994</v>
      </c>
      <c r="S180" s="2">
        <f t="shared" si="8"/>
        <v>-3.4786188711749999E-3</v>
      </c>
      <c r="T180" s="2">
        <f t="shared" si="9"/>
        <v>4.1242446472500001E-3</v>
      </c>
      <c r="U180" s="2">
        <f t="shared" si="11"/>
        <v>0.26687088304093565</v>
      </c>
    </row>
    <row r="181" spans="2:21" x14ac:dyDescent="0.3">
      <c r="B181" s="2">
        <v>86000</v>
      </c>
      <c r="C181" s="2">
        <v>1.72E-2</v>
      </c>
      <c r="D181" s="2">
        <v>-4.5495850999999997E-3</v>
      </c>
      <c r="E181" s="2">
        <v>0</v>
      </c>
      <c r="F181" s="2">
        <v>1.0404259</v>
      </c>
      <c r="G181" s="2">
        <v>11.875655</v>
      </c>
      <c r="H181" s="2">
        <v>6.6234313</v>
      </c>
      <c r="I181" s="2">
        <v>5.0909310999999997</v>
      </c>
      <c r="J181" s="2">
        <v>5.8765214999999995E-14</v>
      </c>
      <c r="K181" s="2">
        <v>-435425.68</v>
      </c>
      <c r="L181" s="2">
        <v>-417.85160000000002</v>
      </c>
      <c r="M181" s="2">
        <v>-373.28489999999999</v>
      </c>
      <c r="N181" s="2">
        <v>76.735532000000006</v>
      </c>
      <c r="O181" s="2">
        <v>65.033990000000003</v>
      </c>
      <c r="P181" s="2">
        <v>0</v>
      </c>
      <c r="R181" s="2">
        <f t="shared" si="10"/>
        <v>4.4119507025999996</v>
      </c>
      <c r="S181" s="2">
        <f t="shared" si="8"/>
        <v>4.2338813370000001E-3</v>
      </c>
      <c r="T181" s="2">
        <f t="shared" si="9"/>
        <v>3.7823092492499997E-3</v>
      </c>
      <c r="U181" s="2">
        <f t="shared" si="11"/>
        <v>0.26451076162790693</v>
      </c>
    </row>
    <row r="182" spans="2:21" x14ac:dyDescent="0.3">
      <c r="B182" s="2">
        <v>86500</v>
      </c>
      <c r="C182" s="2">
        <v>1.7299999999999999E-2</v>
      </c>
      <c r="D182" s="2">
        <v>-4.6222998999999997E-3</v>
      </c>
      <c r="E182" s="2">
        <v>0</v>
      </c>
      <c r="F182" s="2">
        <v>1.0045693</v>
      </c>
      <c r="G182" s="2">
        <v>12.007289999999999</v>
      </c>
      <c r="H182" s="2">
        <v>6.6662546999999996</v>
      </c>
      <c r="I182" s="2">
        <v>5.1853011000000002</v>
      </c>
      <c r="J182" s="2">
        <v>6.0746075E-14</v>
      </c>
      <c r="K182" s="2">
        <v>-437394.74</v>
      </c>
      <c r="L182" s="2">
        <v>607.53629000000001</v>
      </c>
      <c r="M182" s="2">
        <v>-243.04423</v>
      </c>
      <c r="N182" s="2">
        <v>76.743076000000002</v>
      </c>
      <c r="O182" s="2">
        <v>65.029240000000001</v>
      </c>
      <c r="P182" s="2">
        <v>0</v>
      </c>
      <c r="R182" s="2">
        <f t="shared" si="10"/>
        <v>4.4319022030499999</v>
      </c>
      <c r="S182" s="2">
        <f t="shared" si="8"/>
        <v>-6.1558614584249997E-3</v>
      </c>
      <c r="T182" s="2">
        <f t="shared" si="9"/>
        <v>2.4626456604750001E-3</v>
      </c>
      <c r="U182" s="2">
        <f t="shared" si="11"/>
        <v>0.26718496531791908</v>
      </c>
    </row>
    <row r="183" spans="2:21" x14ac:dyDescent="0.3">
      <c r="B183" s="2">
        <v>87000</v>
      </c>
      <c r="C183" s="2">
        <v>1.7399999999999999E-2</v>
      </c>
      <c r="D183" s="2">
        <v>-4.5864425000000002E-3</v>
      </c>
      <c r="E183" s="2">
        <v>0</v>
      </c>
      <c r="F183" s="2">
        <v>1.0025504000000001</v>
      </c>
      <c r="G183" s="2">
        <v>12.136426</v>
      </c>
      <c r="H183" s="2">
        <v>6.77834</v>
      </c>
      <c r="I183" s="2">
        <v>5.2026645</v>
      </c>
      <c r="J183" s="2">
        <v>5.9104055000000004E-14</v>
      </c>
      <c r="K183" s="2">
        <v>-440389.07</v>
      </c>
      <c r="L183" s="2">
        <v>-902.12116000000003</v>
      </c>
      <c r="M183" s="2">
        <v>-21.556965999999999</v>
      </c>
      <c r="N183" s="2">
        <v>76.750619999999998</v>
      </c>
      <c r="O183" s="2">
        <v>65.031582</v>
      </c>
      <c r="P183" s="2">
        <v>0</v>
      </c>
      <c r="R183" s="2">
        <f t="shared" si="10"/>
        <v>4.4622422517749998</v>
      </c>
      <c r="S183" s="2">
        <f t="shared" si="8"/>
        <v>9.1407426537000007E-3</v>
      </c>
      <c r="T183" s="2">
        <f t="shared" si="9"/>
        <v>2.1842595799499999E-4</v>
      </c>
      <c r="U183" s="2">
        <f t="shared" si="11"/>
        <v>0.26358864942528737</v>
      </c>
    </row>
    <row r="184" spans="2:21" x14ac:dyDescent="0.3">
      <c r="B184" s="2">
        <v>87500</v>
      </c>
      <c r="C184" s="2">
        <v>1.7500000000000002E-2</v>
      </c>
      <c r="D184" s="2">
        <v>-4.6915843999999996E-3</v>
      </c>
      <c r="E184" s="2">
        <v>0</v>
      </c>
      <c r="F184" s="2">
        <v>0.95824255999999997</v>
      </c>
      <c r="G184" s="2">
        <v>12.265942000000001</v>
      </c>
      <c r="H184" s="2">
        <v>6.8162640999999997</v>
      </c>
      <c r="I184" s="2">
        <v>5.3011251000000001</v>
      </c>
      <c r="J184" s="2">
        <v>6.2035931999999994E-14</v>
      </c>
      <c r="K184" s="2">
        <v>-442336.25</v>
      </c>
      <c r="L184" s="2">
        <v>1213.4993999999999</v>
      </c>
      <c r="M184" s="2">
        <v>214.35086000000001</v>
      </c>
      <c r="N184" s="2">
        <v>76.758163999999994</v>
      </c>
      <c r="O184" s="2">
        <v>65.024713000000006</v>
      </c>
      <c r="P184" s="2">
        <v>0</v>
      </c>
      <c r="R184" s="2">
        <f t="shared" si="10"/>
        <v>4.4819720531250002</v>
      </c>
      <c r="S184" s="2">
        <f t="shared" si="8"/>
        <v>-1.2295782670499999E-2</v>
      </c>
      <c r="T184" s="2">
        <f t="shared" si="9"/>
        <v>-2.1719100889500001E-3</v>
      </c>
      <c r="U184" s="2">
        <f t="shared" si="11"/>
        <v>0.26809053714285708</v>
      </c>
    </row>
    <row r="185" spans="2:21" x14ac:dyDescent="0.3">
      <c r="B185" s="2">
        <v>88000</v>
      </c>
      <c r="C185" s="2">
        <v>1.7600000000000001E-2</v>
      </c>
      <c r="D185" s="2">
        <v>-4.6197742000000002E-3</v>
      </c>
      <c r="E185" s="2">
        <v>0</v>
      </c>
      <c r="F185" s="2">
        <v>1.0284629999999999</v>
      </c>
      <c r="G185" s="2">
        <v>12.411534</v>
      </c>
      <c r="H185" s="2">
        <v>6.9364618</v>
      </c>
      <c r="I185" s="2">
        <v>5.3156337999999996</v>
      </c>
      <c r="J185" s="2">
        <v>5.8651749999999995E-14</v>
      </c>
      <c r="K185" s="2">
        <v>-445380.02</v>
      </c>
      <c r="L185" s="2">
        <v>-1467.8054999999999</v>
      </c>
      <c r="M185" s="2">
        <v>385.42423000000002</v>
      </c>
      <c r="N185" s="2">
        <v>76.765708000000004</v>
      </c>
      <c r="O185" s="2">
        <v>65.029404999999997</v>
      </c>
      <c r="P185" s="2">
        <v>0</v>
      </c>
      <c r="R185" s="2">
        <f t="shared" si="10"/>
        <v>4.5128130526500003</v>
      </c>
      <c r="S185" s="2">
        <f t="shared" si="8"/>
        <v>1.4872539228749999E-2</v>
      </c>
      <c r="T185" s="2">
        <f t="shared" si="9"/>
        <v>-3.9053110104750001E-3</v>
      </c>
      <c r="U185" s="2">
        <f t="shared" si="11"/>
        <v>0.26248717045454545</v>
      </c>
    </row>
    <row r="186" spans="2:21" x14ac:dyDescent="0.3">
      <c r="B186" s="2">
        <v>88500</v>
      </c>
      <c r="C186" s="2">
        <v>1.77E-2</v>
      </c>
      <c r="D186" s="2">
        <v>-4.7560794999999996E-3</v>
      </c>
      <c r="E186" s="2">
        <v>0</v>
      </c>
      <c r="F186" s="2">
        <v>1.0011569</v>
      </c>
      <c r="G186" s="2">
        <v>12.553077</v>
      </c>
      <c r="H186" s="2">
        <v>6.9763561999999997</v>
      </c>
      <c r="I186" s="2">
        <v>5.4215150000000003</v>
      </c>
      <c r="J186" s="2">
        <v>6.0381256000000005E-14</v>
      </c>
      <c r="K186" s="2">
        <v>-447238.66</v>
      </c>
      <c r="L186" s="2">
        <v>1641.6053999999999</v>
      </c>
      <c r="M186" s="2">
        <v>394.41710999999998</v>
      </c>
      <c r="N186" s="2">
        <v>76.773251000000002</v>
      </c>
      <c r="O186" s="2">
        <v>65.020499999999998</v>
      </c>
      <c r="P186" s="2">
        <v>0</v>
      </c>
      <c r="R186" s="2">
        <f t="shared" si="10"/>
        <v>4.5316457224499995</v>
      </c>
      <c r="S186" s="2">
        <f t="shared" si="8"/>
        <v>-1.6633566715499998E-2</v>
      </c>
      <c r="T186" s="2">
        <f t="shared" si="9"/>
        <v>-3.9964313670749997E-3</v>
      </c>
      <c r="U186" s="2">
        <f t="shared" si="11"/>
        <v>0.26870505649717513</v>
      </c>
    </row>
    <row r="187" spans="2:21" x14ac:dyDescent="0.3">
      <c r="B187" s="2">
        <v>89000</v>
      </c>
      <c r="C187" s="2">
        <v>1.78E-2</v>
      </c>
      <c r="D187" s="2">
        <v>-4.6632595999999997E-3</v>
      </c>
      <c r="E187" s="2">
        <v>0</v>
      </c>
      <c r="F187" s="2">
        <v>1.0306607000000001</v>
      </c>
      <c r="G187" s="2">
        <v>12.693648</v>
      </c>
      <c r="H187" s="2">
        <v>7.0992382999999997</v>
      </c>
      <c r="I187" s="2">
        <v>5.4346303999999996</v>
      </c>
      <c r="J187" s="2">
        <v>6.1813220999999998E-14</v>
      </c>
      <c r="K187" s="2">
        <v>-450325.99</v>
      </c>
      <c r="L187" s="2">
        <v>-1723.2236</v>
      </c>
      <c r="M187" s="2">
        <v>237.16641999999999</v>
      </c>
      <c r="N187" s="2">
        <v>76.780794999999998</v>
      </c>
      <c r="O187" s="2">
        <v>65.026563999999993</v>
      </c>
      <c r="P187" s="2">
        <v>0</v>
      </c>
      <c r="R187" s="2">
        <f t="shared" si="10"/>
        <v>4.5629280936749996</v>
      </c>
      <c r="S187" s="2">
        <f t="shared" si="8"/>
        <v>1.7460563126999999E-2</v>
      </c>
      <c r="T187" s="2">
        <f t="shared" si="9"/>
        <v>-2.4030887506499999E-3</v>
      </c>
      <c r="U187" s="2">
        <f t="shared" si="11"/>
        <v>0.26198087640449436</v>
      </c>
    </row>
    <row r="188" spans="2:21" x14ac:dyDescent="0.3">
      <c r="B188" s="2">
        <v>89500</v>
      </c>
      <c r="C188" s="2">
        <v>1.7899999999999999E-2</v>
      </c>
      <c r="D188" s="2">
        <v>-4.8087505000000003E-3</v>
      </c>
      <c r="E188" s="2">
        <v>0</v>
      </c>
      <c r="F188" s="2">
        <v>1.0611409999999999</v>
      </c>
      <c r="G188" s="2">
        <v>12.835813999999999</v>
      </c>
      <c r="H188" s="2">
        <v>7.1310009000000001</v>
      </c>
      <c r="I188" s="2">
        <v>5.5403091</v>
      </c>
      <c r="J188" s="2">
        <v>5.8504535000000001E-14</v>
      </c>
      <c r="K188" s="2">
        <v>-452182.46</v>
      </c>
      <c r="L188" s="2">
        <v>1692.3997999999999</v>
      </c>
      <c r="M188" s="2">
        <v>-54.321069999999999</v>
      </c>
      <c r="N188" s="2">
        <v>76.788338999999993</v>
      </c>
      <c r="O188" s="2">
        <v>65.017059000000003</v>
      </c>
      <c r="P188" s="2">
        <v>0</v>
      </c>
      <c r="R188" s="2">
        <f t="shared" si="10"/>
        <v>4.5817387759499999</v>
      </c>
      <c r="S188" s="2">
        <f t="shared" si="8"/>
        <v>-1.7148240973499998E-2</v>
      </c>
      <c r="T188" s="2">
        <f t="shared" si="9"/>
        <v>5.5040824177500004E-4</v>
      </c>
      <c r="U188" s="2">
        <f t="shared" si="11"/>
        <v>0.26864527932960897</v>
      </c>
    </row>
    <row r="189" spans="2:21" x14ac:dyDescent="0.3">
      <c r="B189" s="2">
        <v>90000</v>
      </c>
      <c r="C189" s="2">
        <v>1.7999999999999999E-2</v>
      </c>
      <c r="D189" s="2">
        <v>-4.7211702000000003E-3</v>
      </c>
      <c r="E189" s="2">
        <v>0</v>
      </c>
      <c r="F189" s="2">
        <v>1.0066044000000001</v>
      </c>
      <c r="G189" s="2">
        <v>12.960635999999999</v>
      </c>
      <c r="H189" s="2">
        <v>7.2521711</v>
      </c>
      <c r="I189" s="2">
        <v>5.5524148000000002</v>
      </c>
      <c r="J189" s="2">
        <v>5.7889248999999996E-14</v>
      </c>
      <c r="K189" s="2">
        <v>-455257.73</v>
      </c>
      <c r="L189" s="2">
        <v>-1510.4507000000001</v>
      </c>
      <c r="M189" s="2">
        <v>-309.68831999999998</v>
      </c>
      <c r="N189" s="2">
        <v>76.795883000000003</v>
      </c>
      <c r="O189" s="2">
        <v>65.022779999999997</v>
      </c>
      <c r="P189" s="2">
        <v>0</v>
      </c>
      <c r="R189" s="2">
        <f t="shared" si="10"/>
        <v>4.6128989492249994</v>
      </c>
      <c r="S189" s="2">
        <f t="shared" si="8"/>
        <v>1.5304641717750001E-2</v>
      </c>
      <c r="T189" s="2">
        <f t="shared" si="9"/>
        <v>3.1379169023999999E-3</v>
      </c>
      <c r="U189" s="2">
        <f t="shared" si="11"/>
        <v>0.26228723333333337</v>
      </c>
    </row>
    <row r="190" spans="2:21" x14ac:dyDescent="0.3">
      <c r="B190" s="2">
        <v>90500</v>
      </c>
      <c r="C190" s="2">
        <v>1.8100000000000002E-2</v>
      </c>
      <c r="D190" s="2">
        <v>-4.8414099000000004E-3</v>
      </c>
      <c r="E190" s="2">
        <v>0</v>
      </c>
      <c r="F190" s="2">
        <v>1.0551773</v>
      </c>
      <c r="G190" s="2">
        <v>13.097203</v>
      </c>
      <c r="H190" s="2">
        <v>7.2872599999999998</v>
      </c>
      <c r="I190" s="2">
        <v>5.6463633</v>
      </c>
      <c r="J190" s="2">
        <v>5.9222405000000002E-14</v>
      </c>
      <c r="K190" s="2">
        <v>-457203.19</v>
      </c>
      <c r="L190" s="2">
        <v>1137.5434</v>
      </c>
      <c r="M190" s="2">
        <v>-405.12997000000001</v>
      </c>
      <c r="N190" s="2">
        <v>76.803426999999999</v>
      </c>
      <c r="O190" s="2">
        <v>65.014925000000005</v>
      </c>
      <c r="P190" s="2">
        <v>0</v>
      </c>
      <c r="R190" s="2">
        <f t="shared" si="10"/>
        <v>4.6326113226750003</v>
      </c>
      <c r="S190" s="2">
        <f t="shared" si="8"/>
        <v>-1.1526158500500001E-2</v>
      </c>
      <c r="T190" s="2">
        <f t="shared" si="9"/>
        <v>4.1049794210250004E-3</v>
      </c>
      <c r="U190" s="2">
        <f t="shared" si="11"/>
        <v>0.26748120994475139</v>
      </c>
    </row>
    <row r="191" spans="2:21" x14ac:dyDescent="0.3">
      <c r="B191" s="2">
        <v>91000</v>
      </c>
      <c r="C191" s="2">
        <v>1.8200000000000001E-2</v>
      </c>
      <c r="D191" s="2">
        <v>-4.7973846999999998E-3</v>
      </c>
      <c r="E191" s="2">
        <v>0</v>
      </c>
      <c r="F191" s="2">
        <v>0.98039491999999995</v>
      </c>
      <c r="G191" s="2">
        <v>13.244300000000001</v>
      </c>
      <c r="H191" s="2">
        <v>7.4139181000000001</v>
      </c>
      <c r="I191" s="2">
        <v>5.6783951000000004</v>
      </c>
      <c r="J191" s="2">
        <v>6.1593397000000006E-14</v>
      </c>
      <c r="K191" s="2">
        <v>-460131.38</v>
      </c>
      <c r="L191" s="2">
        <v>-710.22883999999999</v>
      </c>
      <c r="M191" s="2">
        <v>-267.14904000000001</v>
      </c>
      <c r="N191" s="2">
        <v>76.810969999999998</v>
      </c>
      <c r="O191" s="2">
        <v>65.017801000000006</v>
      </c>
      <c r="P191" s="2">
        <v>0</v>
      </c>
      <c r="R191" s="2">
        <f t="shared" si="10"/>
        <v>4.6622812078500004</v>
      </c>
      <c r="S191" s="2">
        <f t="shared" si="8"/>
        <v>7.1963937212999995E-3</v>
      </c>
      <c r="T191" s="2">
        <f t="shared" si="9"/>
        <v>2.7068876478000001E-3</v>
      </c>
      <c r="U191" s="2">
        <f t="shared" si="11"/>
        <v>0.26359256593406594</v>
      </c>
    </row>
    <row r="192" spans="2:21" x14ac:dyDescent="0.3">
      <c r="B192" s="2">
        <v>91500</v>
      </c>
      <c r="C192" s="2">
        <v>1.83E-2</v>
      </c>
      <c r="D192" s="2">
        <v>-4.8720687999999996E-3</v>
      </c>
      <c r="E192" s="2">
        <v>0</v>
      </c>
      <c r="F192" s="2">
        <v>1.0323078000000001</v>
      </c>
      <c r="G192" s="2">
        <v>13.384150999999999</v>
      </c>
      <c r="H192" s="2">
        <v>7.4569026000000003</v>
      </c>
      <c r="I192" s="2">
        <v>5.7672141999999997</v>
      </c>
      <c r="J192" s="2">
        <v>6.0695227000000004E-14</v>
      </c>
      <c r="K192" s="2">
        <v>-462187.89</v>
      </c>
      <c r="L192" s="2">
        <v>487.83915999999999</v>
      </c>
      <c r="M192" s="2">
        <v>38.739724000000002</v>
      </c>
      <c r="N192" s="2">
        <v>76.818513999999993</v>
      </c>
      <c r="O192" s="2">
        <v>65.012922000000003</v>
      </c>
      <c r="P192" s="2">
        <v>0</v>
      </c>
      <c r="R192" s="2">
        <f t="shared" si="10"/>
        <v>4.683118795425</v>
      </c>
      <c r="S192" s="2">
        <f t="shared" si="8"/>
        <v>-4.9430302886999998E-3</v>
      </c>
      <c r="T192" s="2">
        <f t="shared" si="9"/>
        <v>-3.9253025343000001E-4</v>
      </c>
      <c r="U192" s="2">
        <f t="shared" si="11"/>
        <v>0.2662332677595628</v>
      </c>
    </row>
    <row r="193" spans="2:21" x14ac:dyDescent="0.3">
      <c r="B193" s="2">
        <v>92000</v>
      </c>
      <c r="C193" s="2">
        <v>1.84E-2</v>
      </c>
      <c r="D193" s="2">
        <v>-4.8576569E-3</v>
      </c>
      <c r="E193" s="2">
        <v>0</v>
      </c>
      <c r="F193" s="2">
        <v>1.002459</v>
      </c>
      <c r="G193" s="2">
        <v>13.527028</v>
      </c>
      <c r="H193" s="2">
        <v>7.5734652000000002</v>
      </c>
      <c r="I193" s="2">
        <v>5.7981558</v>
      </c>
      <c r="J193" s="2">
        <v>5.9306782000000001E-14</v>
      </c>
      <c r="K193" s="2">
        <v>-465054.37</v>
      </c>
      <c r="L193" s="2">
        <v>-405.39857000000001</v>
      </c>
      <c r="M193" s="2">
        <v>315.08035000000001</v>
      </c>
      <c r="N193" s="2">
        <v>76.826058000000003</v>
      </c>
      <c r="O193" s="2">
        <v>65.013863999999998</v>
      </c>
      <c r="P193" s="2">
        <v>0</v>
      </c>
      <c r="R193" s="2">
        <f t="shared" si="10"/>
        <v>4.7121634040249996</v>
      </c>
      <c r="S193" s="2">
        <f t="shared" si="8"/>
        <v>4.1077010105250002E-3</v>
      </c>
      <c r="T193" s="2">
        <f t="shared" si="9"/>
        <v>-3.192551646375E-3</v>
      </c>
      <c r="U193" s="2">
        <f t="shared" si="11"/>
        <v>0.26400309239130437</v>
      </c>
    </row>
    <row r="194" spans="2:21" x14ac:dyDescent="0.3">
      <c r="B194" s="2">
        <v>92500</v>
      </c>
      <c r="C194" s="2">
        <v>1.8499999999999999E-2</v>
      </c>
      <c r="D194" s="2">
        <v>-4.92145E-3</v>
      </c>
      <c r="E194" s="2">
        <v>0</v>
      </c>
      <c r="F194" s="2">
        <v>1.0235474</v>
      </c>
      <c r="G194" s="2">
        <v>13.674077</v>
      </c>
      <c r="H194" s="2">
        <v>7.6196799000000004</v>
      </c>
      <c r="I194" s="2">
        <v>5.8957204000000001</v>
      </c>
      <c r="J194" s="2">
        <v>5.7905901999999996E-14</v>
      </c>
      <c r="K194" s="2">
        <v>-467086.47</v>
      </c>
      <c r="L194" s="2">
        <v>384.86311999999998</v>
      </c>
      <c r="M194" s="2">
        <v>401.45287000000002</v>
      </c>
      <c r="N194" s="2">
        <v>76.833601999999999</v>
      </c>
      <c r="O194" s="2">
        <v>65.009696000000005</v>
      </c>
      <c r="P194" s="2">
        <v>0</v>
      </c>
      <c r="R194" s="2">
        <f t="shared" si="10"/>
        <v>4.7327536572749995</v>
      </c>
      <c r="S194" s="2">
        <f t="shared" si="8"/>
        <v>-3.8996255633999997E-3</v>
      </c>
      <c r="T194" s="2">
        <f t="shared" si="9"/>
        <v>-4.067721205275E-3</v>
      </c>
      <c r="U194" s="2">
        <f t="shared" si="11"/>
        <v>0.26602432432432432</v>
      </c>
    </row>
    <row r="195" spans="2:21" x14ac:dyDescent="0.3">
      <c r="B195" s="2">
        <v>93000</v>
      </c>
      <c r="C195" s="2">
        <v>1.8599999999999998E-2</v>
      </c>
      <c r="D195" s="2">
        <v>-4.9063930999999998E-3</v>
      </c>
      <c r="E195" s="2">
        <v>0</v>
      </c>
      <c r="F195" s="2">
        <v>1.0094468000000001</v>
      </c>
      <c r="G195" s="2">
        <v>13.821866</v>
      </c>
      <c r="H195" s="2">
        <v>7.7497961000000002</v>
      </c>
      <c r="I195" s="2">
        <v>5.9155797000000003</v>
      </c>
      <c r="J195" s="2">
        <v>5.8278493000000005E-14</v>
      </c>
      <c r="K195" s="2">
        <v>-470049.26</v>
      </c>
      <c r="L195" s="2">
        <v>-392.33161000000001</v>
      </c>
      <c r="M195" s="2">
        <v>187.78373999999999</v>
      </c>
      <c r="N195" s="2">
        <v>76.841145999999995</v>
      </c>
      <c r="O195" s="2">
        <v>65.010679999999994</v>
      </c>
      <c r="P195" s="2">
        <v>0</v>
      </c>
      <c r="R195" s="2">
        <f t="shared" si="10"/>
        <v>4.7627741269500001</v>
      </c>
      <c r="S195" s="2">
        <f t="shared" si="8"/>
        <v>3.9753000383250005E-3</v>
      </c>
      <c r="T195" s="2">
        <f t="shared" si="9"/>
        <v>-1.9027187455499998E-3</v>
      </c>
      <c r="U195" s="2">
        <f t="shared" si="11"/>
        <v>0.26378457526881721</v>
      </c>
    </row>
    <row r="196" spans="2:21" x14ac:dyDescent="0.3">
      <c r="B196" s="2">
        <v>93500</v>
      </c>
      <c r="C196" s="2">
        <v>1.8700000000000001E-2</v>
      </c>
      <c r="D196" s="2">
        <v>-4.9746859000000003E-3</v>
      </c>
      <c r="E196" s="2">
        <v>0</v>
      </c>
      <c r="F196" s="2">
        <v>1.0640727000000001</v>
      </c>
      <c r="G196" s="2">
        <v>13.966631</v>
      </c>
      <c r="H196" s="2">
        <v>7.7825740000000003</v>
      </c>
      <c r="I196" s="2">
        <v>6.0190979000000002</v>
      </c>
      <c r="J196" s="2">
        <v>6.1637805999999994E-14</v>
      </c>
      <c r="K196" s="2">
        <v>-471979.35</v>
      </c>
      <c r="L196" s="2">
        <v>423.18752999999998</v>
      </c>
      <c r="M196" s="2">
        <v>-167.00660999999999</v>
      </c>
      <c r="N196" s="2">
        <v>76.848688999999993</v>
      </c>
      <c r="O196" s="2">
        <v>65.006218000000004</v>
      </c>
      <c r="P196" s="2">
        <v>0</v>
      </c>
      <c r="R196" s="2">
        <f t="shared" si="10"/>
        <v>4.7823307638749997</v>
      </c>
      <c r="S196" s="2">
        <f t="shared" si="8"/>
        <v>-4.2879476477249998E-3</v>
      </c>
      <c r="T196" s="2">
        <f t="shared" si="9"/>
        <v>1.692194475825E-3</v>
      </c>
      <c r="U196" s="2">
        <f t="shared" si="11"/>
        <v>0.26602598395721927</v>
      </c>
    </row>
    <row r="197" spans="2:21" x14ac:dyDescent="0.3">
      <c r="B197" s="2">
        <v>94000</v>
      </c>
      <c r="C197" s="2">
        <v>1.8800000000000001E-2</v>
      </c>
      <c r="D197" s="2">
        <v>-4.9530205000000004E-3</v>
      </c>
      <c r="E197" s="2">
        <v>0</v>
      </c>
      <c r="F197" s="2">
        <v>0.98574408000000002</v>
      </c>
      <c r="G197" s="2">
        <v>14.101101999999999</v>
      </c>
      <c r="H197" s="2">
        <v>7.9138070999999997</v>
      </c>
      <c r="I197" s="2">
        <v>6.0344787000000002</v>
      </c>
      <c r="J197" s="2">
        <v>5.9960702999999997E-14</v>
      </c>
      <c r="K197" s="2">
        <v>-475016.07</v>
      </c>
      <c r="L197" s="2">
        <v>-509.83163999999999</v>
      </c>
      <c r="M197" s="2">
        <v>-395.48923000000002</v>
      </c>
      <c r="N197" s="2">
        <v>76.856233000000003</v>
      </c>
      <c r="O197" s="2">
        <v>65.007632999999998</v>
      </c>
      <c r="P197" s="2">
        <v>0</v>
      </c>
      <c r="R197" s="2">
        <f t="shared" si="10"/>
        <v>4.8131003292749996</v>
      </c>
      <c r="S197" s="2">
        <f t="shared" si="8"/>
        <v>5.1658690923000001E-3</v>
      </c>
      <c r="T197" s="2">
        <f t="shared" si="9"/>
        <v>4.0072946229750004E-3</v>
      </c>
      <c r="U197" s="2">
        <f t="shared" si="11"/>
        <v>0.26345853723404256</v>
      </c>
    </row>
    <row r="198" spans="2:21" x14ac:dyDescent="0.3">
      <c r="B198" s="2">
        <v>94500</v>
      </c>
      <c r="C198" s="2">
        <v>1.89E-2</v>
      </c>
      <c r="D198" s="2">
        <v>-5.0317327000000004E-3</v>
      </c>
      <c r="E198" s="2">
        <v>0</v>
      </c>
      <c r="F198" s="2">
        <v>0.97720505999999996</v>
      </c>
      <c r="G198" s="2">
        <v>14.244609000000001</v>
      </c>
      <c r="H198" s="2">
        <v>7.9497013000000001</v>
      </c>
      <c r="I198" s="2">
        <v>6.1434154999999997</v>
      </c>
      <c r="J198" s="2">
        <v>5.9022121000000001E-14</v>
      </c>
      <c r="K198" s="2">
        <v>-476869.89</v>
      </c>
      <c r="L198" s="2">
        <v>588.20622000000003</v>
      </c>
      <c r="M198" s="2">
        <v>-300.27292999999997</v>
      </c>
      <c r="N198" s="2">
        <v>76.863776999999999</v>
      </c>
      <c r="O198" s="2">
        <v>65.002491000000006</v>
      </c>
      <c r="P198" s="2">
        <v>0</v>
      </c>
      <c r="R198" s="2">
        <f t="shared" si="10"/>
        <v>4.831884160425</v>
      </c>
      <c r="S198" s="2">
        <f t="shared" si="8"/>
        <v>-5.95999952415E-3</v>
      </c>
      <c r="T198" s="2">
        <f t="shared" si="9"/>
        <v>3.0425154632249996E-3</v>
      </c>
      <c r="U198" s="2">
        <f t="shared" si="11"/>
        <v>0.26622924338624343</v>
      </c>
    </row>
    <row r="199" spans="2:21" x14ac:dyDescent="0.3">
      <c r="B199" s="2">
        <v>95000</v>
      </c>
      <c r="C199" s="2">
        <v>1.9E-2</v>
      </c>
      <c r="D199" s="2">
        <v>-5.0055541999999998E-3</v>
      </c>
      <c r="E199" s="2">
        <v>0</v>
      </c>
      <c r="F199" s="2">
        <v>1.0245360999999999</v>
      </c>
      <c r="G199" s="2">
        <v>14.395996999999999</v>
      </c>
      <c r="H199" s="2">
        <v>8.0762119000000006</v>
      </c>
      <c r="I199" s="2">
        <v>6.1609549000000001</v>
      </c>
      <c r="J199" s="2">
        <v>6.0548898999999994E-14</v>
      </c>
      <c r="K199" s="2">
        <v>-479950.85</v>
      </c>
      <c r="L199" s="2">
        <v>-456.00466</v>
      </c>
      <c r="M199" s="2">
        <v>55.145460999999997</v>
      </c>
      <c r="N199" s="2">
        <v>76.871320999999995</v>
      </c>
      <c r="O199" s="2">
        <v>65.004200999999995</v>
      </c>
      <c r="P199" s="2">
        <v>0</v>
      </c>
      <c r="R199" s="2">
        <f t="shared" si="10"/>
        <v>4.8631019876249999</v>
      </c>
      <c r="S199" s="2">
        <f t="shared" si="8"/>
        <v>4.6204672174500003E-3</v>
      </c>
      <c r="T199" s="2">
        <f t="shared" si="9"/>
        <v>-5.5876138358249992E-4</v>
      </c>
      <c r="U199" s="2">
        <f t="shared" si="11"/>
        <v>0.26345022105263155</v>
      </c>
    </row>
    <row r="200" spans="2:21" x14ac:dyDescent="0.3">
      <c r="B200" s="2">
        <v>95500</v>
      </c>
      <c r="C200" s="2">
        <v>1.9099999999999999E-2</v>
      </c>
      <c r="D200" s="2">
        <v>-5.0680222999999998E-3</v>
      </c>
      <c r="E200" s="2">
        <v>0</v>
      </c>
      <c r="F200" s="2">
        <v>1.0582402</v>
      </c>
      <c r="G200" s="2">
        <v>14.549251999999999</v>
      </c>
      <c r="H200" s="2">
        <v>8.1208457000000003</v>
      </c>
      <c r="I200" s="2">
        <v>6.2643512000000001</v>
      </c>
      <c r="J200" s="2">
        <v>5.8440807999999995E-14</v>
      </c>
      <c r="K200" s="2">
        <v>-481874.05</v>
      </c>
      <c r="L200" s="2">
        <v>174.90208999999999</v>
      </c>
      <c r="M200" s="2">
        <v>385.17997000000003</v>
      </c>
      <c r="N200" s="2">
        <v>76.878865000000005</v>
      </c>
      <c r="O200" s="2">
        <v>65.000119999999995</v>
      </c>
      <c r="P200" s="2">
        <v>0</v>
      </c>
      <c r="R200" s="2">
        <f t="shared" si="10"/>
        <v>4.8825888116250002</v>
      </c>
      <c r="S200" s="2">
        <f t="shared" si="8"/>
        <v>-1.7721954269249998E-3</v>
      </c>
      <c r="T200" s="2">
        <f t="shared" si="9"/>
        <v>-3.9028360460250005E-3</v>
      </c>
      <c r="U200" s="2">
        <f t="shared" si="11"/>
        <v>0.26534148167539268</v>
      </c>
    </row>
    <row r="201" spans="2:21" x14ac:dyDescent="0.3">
      <c r="B201" s="2">
        <v>96000</v>
      </c>
      <c r="C201" s="2">
        <v>1.9199999999999998E-2</v>
      </c>
      <c r="D201" s="2">
        <v>-5.0782151000000001E-3</v>
      </c>
      <c r="E201" s="2">
        <v>0</v>
      </c>
      <c r="F201" s="2">
        <v>1.0321667000000001</v>
      </c>
      <c r="G201" s="2">
        <v>14.693903000000001</v>
      </c>
      <c r="H201" s="2">
        <v>8.2372680000000003</v>
      </c>
      <c r="I201" s="2">
        <v>6.2966223000000001</v>
      </c>
      <c r="J201" s="2">
        <v>6.1298744E-14</v>
      </c>
      <c r="K201" s="2">
        <v>-484761.28</v>
      </c>
      <c r="L201" s="2">
        <v>157.72515000000001</v>
      </c>
      <c r="M201" s="2">
        <v>332.31542000000002</v>
      </c>
      <c r="N201" s="2">
        <v>76.886408000000003</v>
      </c>
      <c r="O201" s="2">
        <v>64.999454</v>
      </c>
      <c r="P201" s="2">
        <v>0</v>
      </c>
      <c r="R201" s="2">
        <f t="shared" si="10"/>
        <v>4.9118436696000005</v>
      </c>
      <c r="S201" s="2">
        <f t="shared" ref="S201:S209" si="12">-L201*$B$3</f>
        <v>-1.5981500823750001E-3</v>
      </c>
      <c r="T201" s="2">
        <f t="shared" ref="T201:T209" si="13">-M201*$B$3</f>
        <v>-3.3671859931500001E-3</v>
      </c>
      <c r="U201" s="2">
        <f t="shared" si="11"/>
        <v>0.26449036979166668</v>
      </c>
    </row>
    <row r="202" spans="2:21" x14ac:dyDescent="0.3">
      <c r="B202" s="2">
        <v>96500</v>
      </c>
      <c r="C202" s="2">
        <v>1.9300000000000001E-2</v>
      </c>
      <c r="D202" s="2">
        <v>-5.0944006999999996E-3</v>
      </c>
      <c r="E202" s="2">
        <v>0</v>
      </c>
      <c r="F202" s="2">
        <v>1.0024101000000001</v>
      </c>
      <c r="G202" s="2">
        <v>14.838870999999999</v>
      </c>
      <c r="H202" s="2">
        <v>8.3064719999999994</v>
      </c>
      <c r="I202" s="2">
        <v>6.3769989999999996</v>
      </c>
      <c r="J202" s="2">
        <v>6.2145178000000003E-14</v>
      </c>
      <c r="K202" s="2">
        <v>-486959.19</v>
      </c>
      <c r="L202" s="2">
        <v>-476.01215000000002</v>
      </c>
      <c r="M202" s="2">
        <v>-67.033080999999996</v>
      </c>
      <c r="N202" s="2">
        <v>76.893951999999999</v>
      </c>
      <c r="O202" s="2">
        <v>64.998396999999997</v>
      </c>
      <c r="P202" s="2">
        <v>0</v>
      </c>
      <c r="R202" s="2">
        <f t="shared" ref="R202:R209" si="14">-K202*$B$3</f>
        <v>4.9341139926749999</v>
      </c>
      <c r="S202" s="2">
        <f t="shared" si="12"/>
        <v>4.8231931098750005E-3</v>
      </c>
      <c r="T202" s="2">
        <f t="shared" si="13"/>
        <v>6.7921269323249994E-4</v>
      </c>
      <c r="U202" s="2">
        <f t="shared" ref="U202:U209" si="15">-D202/C202</f>
        <v>0.26395858549222795</v>
      </c>
    </row>
    <row r="203" spans="2:21" x14ac:dyDescent="0.3">
      <c r="B203" s="2">
        <v>97000</v>
      </c>
      <c r="C203" s="2">
        <v>1.9400000000000001E-2</v>
      </c>
      <c r="D203" s="2">
        <v>-5.1527899000000004E-3</v>
      </c>
      <c r="E203" s="2">
        <v>0</v>
      </c>
      <c r="F203" s="2">
        <v>0.97256403000000002</v>
      </c>
      <c r="G203" s="2">
        <v>14.982257000000001</v>
      </c>
      <c r="H203" s="2">
        <v>8.3941365999999995</v>
      </c>
      <c r="I203" s="2">
        <v>6.4373472999999999</v>
      </c>
      <c r="J203" s="2">
        <v>5.9114713000000003E-14</v>
      </c>
      <c r="K203" s="2">
        <v>-489485.55</v>
      </c>
      <c r="L203" s="2">
        <v>733.95326</v>
      </c>
      <c r="M203" s="2">
        <v>-393.91802000000001</v>
      </c>
      <c r="N203" s="2">
        <v>76.901495999999995</v>
      </c>
      <c r="O203" s="2">
        <v>64.994581999999994</v>
      </c>
      <c r="P203" s="2">
        <v>0</v>
      </c>
      <c r="R203" s="2">
        <f t="shared" si="14"/>
        <v>4.9597123353749994</v>
      </c>
      <c r="S203" s="2">
        <f t="shared" si="12"/>
        <v>-7.4367814069499997E-3</v>
      </c>
      <c r="T203" s="2">
        <f t="shared" si="13"/>
        <v>3.9913743376499998E-3</v>
      </c>
      <c r="U203" s="2">
        <f t="shared" si="15"/>
        <v>0.2656077268041237</v>
      </c>
    </row>
    <row r="204" spans="2:21" x14ac:dyDescent="0.3">
      <c r="B204" s="2">
        <v>97500</v>
      </c>
      <c r="C204" s="2">
        <v>1.95E-2</v>
      </c>
      <c r="D204" s="2">
        <v>-5.1252169999999996E-3</v>
      </c>
      <c r="E204" s="2">
        <v>0</v>
      </c>
      <c r="F204" s="2">
        <v>1.0012445999999999</v>
      </c>
      <c r="G204" s="2">
        <v>15.132388000000001</v>
      </c>
      <c r="H204" s="2">
        <v>8.4943536999999996</v>
      </c>
      <c r="I204" s="2">
        <v>6.4828153999999998</v>
      </c>
      <c r="J204" s="2">
        <v>6.0908833999999998E-14</v>
      </c>
      <c r="K204" s="2">
        <v>-492102.28</v>
      </c>
      <c r="L204" s="2">
        <v>-895.65749000000005</v>
      </c>
      <c r="M204" s="2">
        <v>-285.87934000000001</v>
      </c>
      <c r="N204" s="2">
        <v>76.909040000000005</v>
      </c>
      <c r="O204" s="2">
        <v>64.996382999999994</v>
      </c>
      <c r="P204" s="2">
        <v>0</v>
      </c>
      <c r="R204" s="2">
        <f t="shared" si="14"/>
        <v>4.9862263521000001</v>
      </c>
      <c r="S204" s="2">
        <f t="shared" si="12"/>
        <v>9.0752495174250009E-3</v>
      </c>
      <c r="T204" s="2">
        <f t="shared" si="13"/>
        <v>2.8966724125500001E-3</v>
      </c>
      <c r="U204" s="2">
        <f t="shared" si="15"/>
        <v>0.26283164102564099</v>
      </c>
    </row>
    <row r="205" spans="2:21" x14ac:dyDescent="0.3">
      <c r="B205" s="2">
        <v>98000</v>
      </c>
      <c r="C205" s="2">
        <v>1.9599999999999999E-2</v>
      </c>
      <c r="D205" s="2">
        <v>-5.2171617999999999E-3</v>
      </c>
      <c r="E205" s="2">
        <v>0</v>
      </c>
      <c r="F205" s="2">
        <v>0.97838574</v>
      </c>
      <c r="G205" s="2">
        <v>15.289573000000001</v>
      </c>
      <c r="H205" s="2">
        <v>8.5546208000000004</v>
      </c>
      <c r="I205" s="2">
        <v>6.5832772000000004</v>
      </c>
      <c r="J205" s="2">
        <v>6.2297277999999995E-14</v>
      </c>
      <c r="K205" s="2">
        <v>-494185.83</v>
      </c>
      <c r="L205" s="2">
        <v>944.39052000000004</v>
      </c>
      <c r="M205" s="2">
        <v>158.15566000000001</v>
      </c>
      <c r="N205" s="2">
        <v>76.916584</v>
      </c>
      <c r="O205" s="2">
        <v>64.990376999999995</v>
      </c>
      <c r="P205" s="2">
        <v>0</v>
      </c>
      <c r="R205" s="2">
        <f t="shared" si="14"/>
        <v>5.0073379224750001</v>
      </c>
      <c r="S205" s="2">
        <f t="shared" si="12"/>
        <v>-9.5690369439000011E-3</v>
      </c>
      <c r="T205" s="2">
        <f t="shared" si="13"/>
        <v>-1.6025122249500002E-3</v>
      </c>
      <c r="U205" s="2">
        <f t="shared" si="15"/>
        <v>0.26618172448979593</v>
      </c>
    </row>
    <row r="206" spans="2:21" x14ac:dyDescent="0.3">
      <c r="B206" s="2">
        <v>98500</v>
      </c>
      <c r="C206" s="2">
        <v>1.9699999999999999E-2</v>
      </c>
      <c r="D206" s="2">
        <v>-5.1703766000000002E-3</v>
      </c>
      <c r="E206" s="2">
        <v>0</v>
      </c>
      <c r="F206" s="2">
        <v>0.99802294999999996</v>
      </c>
      <c r="G206" s="2">
        <v>15.439874</v>
      </c>
      <c r="H206" s="2">
        <v>8.6843897000000005</v>
      </c>
      <c r="I206" s="2">
        <v>6.600765</v>
      </c>
      <c r="J206" s="2">
        <v>5.9464210999999999E-14</v>
      </c>
      <c r="K206" s="2">
        <v>-497197.92</v>
      </c>
      <c r="L206" s="2">
        <v>-873.22238000000004</v>
      </c>
      <c r="M206" s="2">
        <v>408.08724000000001</v>
      </c>
      <c r="N206" s="2">
        <v>76.924126999999999</v>
      </c>
      <c r="O206" s="2">
        <v>64.993432999999996</v>
      </c>
      <c r="P206" s="2">
        <v>0</v>
      </c>
      <c r="R206" s="2">
        <f t="shared" si="14"/>
        <v>5.0378579243999999</v>
      </c>
      <c r="S206" s="2">
        <f t="shared" si="12"/>
        <v>8.8479257653499999E-3</v>
      </c>
      <c r="T206" s="2">
        <f t="shared" si="13"/>
        <v>-4.1349439593E-3</v>
      </c>
      <c r="U206" s="2">
        <f t="shared" si="15"/>
        <v>0.26245566497461931</v>
      </c>
    </row>
    <row r="207" spans="2:21" x14ac:dyDescent="0.3">
      <c r="B207" s="2">
        <v>99000</v>
      </c>
      <c r="C207" s="2">
        <v>1.9800000000000002E-2</v>
      </c>
      <c r="D207" s="2">
        <v>-5.2629996000000002E-3</v>
      </c>
      <c r="E207" s="2">
        <v>0</v>
      </c>
      <c r="F207" s="2">
        <v>1.0133363</v>
      </c>
      <c r="G207" s="2">
        <v>15.586864</v>
      </c>
      <c r="H207" s="2">
        <v>8.7170713000000006</v>
      </c>
      <c r="I207" s="2">
        <v>6.7126992999999997</v>
      </c>
      <c r="J207" s="2">
        <v>6.1243233000000004E-14</v>
      </c>
      <c r="K207" s="2">
        <v>-499059</v>
      </c>
      <c r="L207" s="2">
        <v>709.18439000000001</v>
      </c>
      <c r="M207" s="2">
        <v>136.73571000000001</v>
      </c>
      <c r="N207" s="2">
        <v>76.931670999999994</v>
      </c>
      <c r="O207" s="2">
        <v>64.987381999999997</v>
      </c>
      <c r="P207" s="2">
        <v>0</v>
      </c>
      <c r="R207" s="2">
        <f t="shared" si="14"/>
        <v>5.0567153175000001</v>
      </c>
      <c r="S207" s="2">
        <f t="shared" si="12"/>
        <v>-7.1858108316749996E-3</v>
      </c>
      <c r="T207" s="2">
        <f t="shared" si="13"/>
        <v>-1.3854745815750002E-3</v>
      </c>
      <c r="U207" s="2">
        <f t="shared" si="15"/>
        <v>0.2658080606060606</v>
      </c>
    </row>
    <row r="208" spans="2:21" x14ac:dyDescent="0.3">
      <c r="B208" s="2">
        <v>99500</v>
      </c>
      <c r="C208" s="2">
        <v>1.9900000000000001E-2</v>
      </c>
      <c r="D208" s="2">
        <v>-5.2318039999999996E-3</v>
      </c>
      <c r="E208" s="2">
        <v>0</v>
      </c>
      <c r="F208" s="2">
        <v>0.99034387999999995</v>
      </c>
      <c r="G208" s="2">
        <v>15.741443</v>
      </c>
      <c r="H208" s="2">
        <v>8.8551404999999992</v>
      </c>
      <c r="I208" s="2">
        <v>6.7327731000000002</v>
      </c>
      <c r="J208" s="2">
        <v>6.1486594000000006E-14</v>
      </c>
      <c r="K208" s="2">
        <v>-502102.25</v>
      </c>
      <c r="L208" s="2">
        <v>-527.85599000000002</v>
      </c>
      <c r="M208" s="2">
        <v>-311.47377999999998</v>
      </c>
      <c r="N208" s="2">
        <v>76.939215000000004</v>
      </c>
      <c r="O208" s="2">
        <v>64.989419999999996</v>
      </c>
      <c r="P208" s="2">
        <v>0</v>
      </c>
      <c r="R208" s="2">
        <f t="shared" si="14"/>
        <v>5.0875510481250004</v>
      </c>
      <c r="S208" s="2">
        <f t="shared" si="12"/>
        <v>5.3485008186750001E-3</v>
      </c>
      <c r="T208" s="2">
        <f t="shared" si="13"/>
        <v>3.15600807585E-3</v>
      </c>
      <c r="U208" s="2">
        <f t="shared" si="15"/>
        <v>0.26290472361809042</v>
      </c>
    </row>
    <row r="209" spans="2:21" x14ac:dyDescent="0.3">
      <c r="B209" s="2">
        <v>100000</v>
      </c>
      <c r="C209" s="2">
        <v>0.02</v>
      </c>
      <c r="D209" s="2">
        <v>-5.3002316999999997E-3</v>
      </c>
      <c r="E209" s="2">
        <v>0</v>
      </c>
      <c r="F209" s="2">
        <v>1.0075996</v>
      </c>
      <c r="G209" s="2">
        <v>15.901319000000001</v>
      </c>
      <c r="H209" s="2">
        <v>8.9045457999999993</v>
      </c>
      <c r="I209" s="2">
        <v>6.8405696000000002</v>
      </c>
      <c r="J209" s="2">
        <v>6.0517369000000004E-14</v>
      </c>
      <c r="K209" s="2">
        <v>-504055.9</v>
      </c>
      <c r="L209" s="2">
        <v>345.80067000000003</v>
      </c>
      <c r="M209" s="2">
        <v>-339.19101999999998</v>
      </c>
      <c r="N209" s="2">
        <v>76.946759</v>
      </c>
      <c r="O209" s="2">
        <v>64.984949999999998</v>
      </c>
      <c r="P209" s="2">
        <v>0</v>
      </c>
      <c r="R209" s="2">
        <f t="shared" si="14"/>
        <v>5.1073464067500005</v>
      </c>
      <c r="S209" s="2">
        <f t="shared" si="12"/>
        <v>-3.5038252887750003E-3</v>
      </c>
      <c r="T209" s="2">
        <f t="shared" si="13"/>
        <v>3.4368530101499999E-3</v>
      </c>
      <c r="U209" s="2">
        <f t="shared" si="15"/>
        <v>0.26501158499999999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79E6-80A5-4334-B33E-ABA13AD0CD27}">
  <dimension ref="A1:U209"/>
  <sheetViews>
    <sheetView zoomScale="70" zoomScaleNormal="70" workbookViewId="0">
      <selection activeCell="G35" sqref="G35"/>
    </sheetView>
  </sheetViews>
  <sheetFormatPr defaultRowHeight="14.4" x14ac:dyDescent="0.3"/>
  <cols>
    <col min="1" max="1" width="8.88671875" style="2"/>
    <col min="2" max="3" width="9" style="2" bestFit="1" customWidth="1"/>
    <col min="4" max="4" width="12.77734375" style="2" bestFit="1" customWidth="1"/>
    <col min="5" max="9" width="9" style="2" bestFit="1" customWidth="1"/>
    <col min="10" max="10" width="13.33203125" style="2" bestFit="1" customWidth="1"/>
    <col min="11" max="16" width="9" style="2" bestFit="1" customWidth="1"/>
    <col min="17" max="17" width="8.88671875" style="2"/>
    <col min="18" max="21" width="9" style="2" bestFit="1" customWidth="1"/>
    <col min="22" max="16384" width="8.88671875" style="2"/>
  </cols>
  <sheetData>
    <row r="1" spans="1:21" x14ac:dyDescent="0.3">
      <c r="A1" s="2" t="s">
        <v>15</v>
      </c>
      <c r="B1" s="2">
        <v>101325</v>
      </c>
      <c r="C1" s="2" t="s">
        <v>16</v>
      </c>
    </row>
    <row r="2" spans="1:21" x14ac:dyDescent="0.3">
      <c r="A2" s="2" t="s">
        <v>10</v>
      </c>
      <c r="B2" s="2">
        <f>1*10^-10</f>
        <v>1E-10</v>
      </c>
      <c r="C2" s="2" t="s">
        <v>14</v>
      </c>
    </row>
    <row r="3" spans="1:21" x14ac:dyDescent="0.3">
      <c r="A3" s="2" t="s">
        <v>11</v>
      </c>
      <c r="B3" s="2">
        <f>B2*B1</f>
        <v>1.01325E-5</v>
      </c>
      <c r="C3" s="2" t="s">
        <v>17</v>
      </c>
    </row>
    <row r="4" spans="1:21" x14ac:dyDescent="0.3">
      <c r="A4" s="2" t="s">
        <v>25</v>
      </c>
      <c r="B4" s="2">
        <v>30</v>
      </c>
      <c r="N4" s="2">
        <f>N9/B4</f>
        <v>2.5146343999999998</v>
      </c>
      <c r="O4" s="2">
        <f>O9/B5/SQRT(3)</f>
        <v>2.5146339323883442</v>
      </c>
    </row>
    <row r="5" spans="1:21" x14ac:dyDescent="0.3">
      <c r="A5" s="2" t="s">
        <v>26</v>
      </c>
      <c r="B5" s="2">
        <v>15</v>
      </c>
    </row>
    <row r="8" spans="1:21" ht="15.6" x14ac:dyDescent="0.35">
      <c r="B8" s="2" t="s">
        <v>0</v>
      </c>
      <c r="C8" s="2" t="s">
        <v>18</v>
      </c>
      <c r="D8" s="2" t="s">
        <v>19</v>
      </c>
      <c r="E8" s="2" t="s">
        <v>20</v>
      </c>
      <c r="F8" s="2" t="s">
        <v>1</v>
      </c>
      <c r="G8" s="2" t="s">
        <v>2</v>
      </c>
      <c r="H8" s="2" t="s">
        <v>3</v>
      </c>
      <c r="I8" s="2" t="s">
        <v>4</v>
      </c>
      <c r="J8" s="2" t="s">
        <v>5</v>
      </c>
      <c r="K8" s="2" t="s">
        <v>6</v>
      </c>
      <c r="L8" s="2" t="s">
        <v>7</v>
      </c>
      <c r="M8" s="2" t="s">
        <v>12</v>
      </c>
      <c r="N8" s="2" t="s">
        <v>8</v>
      </c>
      <c r="O8" s="2" t="s">
        <v>9</v>
      </c>
      <c r="P8" s="2" t="s">
        <v>13</v>
      </c>
      <c r="R8" s="2" t="s">
        <v>22</v>
      </c>
      <c r="S8" s="2" t="s">
        <v>23</v>
      </c>
      <c r="T8" s="2" t="s">
        <v>24</v>
      </c>
      <c r="U8" s="2" t="s">
        <v>21</v>
      </c>
    </row>
    <row r="9" spans="1:21" x14ac:dyDescent="0.3">
      <c r="B9" s="2">
        <v>0</v>
      </c>
      <c r="C9" s="1">
        <v>5.6512606999999999E-16</v>
      </c>
      <c r="D9" s="1">
        <v>-6.5255150000000005E-16</v>
      </c>
      <c r="E9" s="2">
        <v>0</v>
      </c>
      <c r="F9" s="2">
        <v>4.9443020000000004</v>
      </c>
      <c r="G9" s="2">
        <v>1.5278910999999999</v>
      </c>
      <c r="H9" s="2">
        <v>0.48253463000000002</v>
      </c>
      <c r="I9" s="2">
        <v>0.27886113000000001</v>
      </c>
      <c r="J9" s="1">
        <v>5.9405147000000005E-14</v>
      </c>
      <c r="K9" s="2">
        <v>-185.10929999999999</v>
      </c>
      <c r="L9" s="2">
        <v>147.42221000000001</v>
      </c>
      <c r="M9" s="2">
        <v>-720.30812000000003</v>
      </c>
      <c r="N9" s="2">
        <v>75.439031999999997</v>
      </c>
      <c r="O9" s="2">
        <v>65.332105999999996</v>
      </c>
      <c r="P9" s="2">
        <v>0</v>
      </c>
      <c r="R9" s="2">
        <f>-K9*$B$3</f>
        <v>1.8756199822499999E-3</v>
      </c>
      <c r="S9" s="2">
        <f t="shared" ref="S9:T72" si="0">-L9*$B$3</f>
        <v>-1.493755542825E-3</v>
      </c>
      <c r="T9" s="2">
        <f t="shared" si="0"/>
        <v>7.2985220259E-3</v>
      </c>
    </row>
    <row r="10" spans="1:21" x14ac:dyDescent="0.3">
      <c r="B10" s="2">
        <v>500</v>
      </c>
      <c r="C10" s="1">
        <v>5.6512606999999999E-16</v>
      </c>
      <c r="D10" s="1">
        <v>-6.5255150000000005E-16</v>
      </c>
      <c r="E10" s="2">
        <v>1E-4</v>
      </c>
      <c r="F10" s="2">
        <v>5.0312896</v>
      </c>
      <c r="G10" s="2">
        <v>1.5573173</v>
      </c>
      <c r="H10" s="2">
        <v>0.51648373000000003</v>
      </c>
      <c r="I10" s="2">
        <v>0.26085287000000001</v>
      </c>
      <c r="J10" s="1">
        <v>6.1949113000000006E-14</v>
      </c>
      <c r="K10" s="2">
        <v>6.8725619</v>
      </c>
      <c r="L10" s="2">
        <v>48.930076</v>
      </c>
      <c r="M10" s="2">
        <v>-731.24806000000001</v>
      </c>
      <c r="N10" s="2">
        <v>75.439031999999997</v>
      </c>
      <c r="O10" s="2">
        <v>65.332105999999996</v>
      </c>
      <c r="P10" s="2">
        <v>6.5332105999999996E-3</v>
      </c>
      <c r="R10" s="2">
        <f t="shared" ref="R10:T73" si="1">-K10*$B$3</f>
        <v>-6.9636233451750006E-5</v>
      </c>
      <c r="S10" s="2">
        <f t="shared" si="0"/>
        <v>-4.9578399507E-4</v>
      </c>
      <c r="T10" s="2">
        <f t="shared" si="0"/>
        <v>7.4093709679499999E-3</v>
      </c>
      <c r="U10" s="2">
        <f t="shared" ref="U10:U73" si="2">-D10/C10</f>
        <v>1.154700755532301</v>
      </c>
    </row>
    <row r="11" spans="1:21" x14ac:dyDescent="0.3">
      <c r="B11" s="2">
        <v>1000</v>
      </c>
      <c r="C11" s="1">
        <v>5.6512606999999999E-16</v>
      </c>
      <c r="D11" s="1">
        <v>-6.5255150000000005E-16</v>
      </c>
      <c r="E11" s="2">
        <v>2.0000000000000001E-4</v>
      </c>
      <c r="F11" s="2">
        <v>4.8882516000000003</v>
      </c>
      <c r="G11" s="2">
        <v>1.5867150000000001</v>
      </c>
      <c r="H11" s="2">
        <v>0.53754374000000005</v>
      </c>
      <c r="I11" s="2">
        <v>0.29136520999999999</v>
      </c>
      <c r="J11" s="1">
        <v>5.9293236999999997E-14</v>
      </c>
      <c r="K11" s="2">
        <v>135.79796999999999</v>
      </c>
      <c r="L11" s="2">
        <v>-85.077218000000002</v>
      </c>
      <c r="M11" s="2">
        <v>-1720.2375</v>
      </c>
      <c r="N11" s="2">
        <v>75.439031999999997</v>
      </c>
      <c r="O11" s="2">
        <v>65.332105999999996</v>
      </c>
      <c r="P11" s="2">
        <v>1.3066421E-2</v>
      </c>
      <c r="R11" s="2">
        <f t="shared" si="1"/>
        <v>-1.375972931025E-3</v>
      </c>
      <c r="S11" s="2">
        <f t="shared" si="0"/>
        <v>8.6204491138499998E-4</v>
      </c>
      <c r="T11" s="2">
        <f t="shared" si="0"/>
        <v>1.743030646875E-2</v>
      </c>
      <c r="U11" s="2">
        <f t="shared" si="2"/>
        <v>1.154700755532301</v>
      </c>
    </row>
    <row r="12" spans="1:21" x14ac:dyDescent="0.3">
      <c r="B12" s="2">
        <v>1500</v>
      </c>
      <c r="C12" s="1">
        <v>5.6512606999999999E-16</v>
      </c>
      <c r="D12" s="1">
        <v>-6.5255150000000005E-16</v>
      </c>
      <c r="E12" s="2">
        <v>2.9999999999999997E-4</v>
      </c>
      <c r="F12" s="2">
        <v>4.8892110999999998</v>
      </c>
      <c r="G12" s="2">
        <v>1.5750805999999999</v>
      </c>
      <c r="H12" s="2">
        <v>0.53295400999999998</v>
      </c>
      <c r="I12" s="2">
        <v>0.28417178999999998</v>
      </c>
      <c r="J12" s="1">
        <v>5.9495741999999996E-14</v>
      </c>
      <c r="K12" s="2">
        <v>-256.82877000000002</v>
      </c>
      <c r="L12" s="2">
        <v>308.07850000000002</v>
      </c>
      <c r="M12" s="2">
        <v>-3783.7665000000002</v>
      </c>
      <c r="N12" s="2">
        <v>75.439031999999997</v>
      </c>
      <c r="O12" s="2">
        <v>65.332105999999996</v>
      </c>
      <c r="P12" s="2">
        <v>1.9599631999999999E-2</v>
      </c>
      <c r="R12" s="2">
        <f t="shared" si="1"/>
        <v>2.6023175120250003E-3</v>
      </c>
      <c r="S12" s="2">
        <f t="shared" si="0"/>
        <v>-3.1216054012500002E-3</v>
      </c>
      <c r="T12" s="2">
        <f t="shared" si="0"/>
        <v>3.8339014061250003E-2</v>
      </c>
      <c r="U12" s="2">
        <f t="shared" si="2"/>
        <v>1.154700755532301</v>
      </c>
    </row>
    <row r="13" spans="1:21" x14ac:dyDescent="0.3">
      <c r="B13" s="2">
        <v>2000</v>
      </c>
      <c r="C13" s="1">
        <v>5.6512606999999999E-16</v>
      </c>
      <c r="D13" s="1">
        <v>-6.5255150000000005E-16</v>
      </c>
      <c r="E13" s="2">
        <v>4.0000000000000002E-4</v>
      </c>
      <c r="F13" s="2">
        <v>5.0974377999999998</v>
      </c>
      <c r="G13" s="2">
        <v>1.5413790999999999</v>
      </c>
      <c r="H13" s="2">
        <v>0.47083549000000002</v>
      </c>
      <c r="I13" s="2">
        <v>0.28030824999999998</v>
      </c>
      <c r="J13" s="1">
        <v>5.8823168999999999E-14</v>
      </c>
      <c r="K13" s="2">
        <v>300.31866000000002</v>
      </c>
      <c r="L13" s="2">
        <v>-353.32967000000002</v>
      </c>
      <c r="M13" s="2">
        <v>-2995.7930000000001</v>
      </c>
      <c r="N13" s="2">
        <v>75.439031999999997</v>
      </c>
      <c r="O13" s="2">
        <v>65.332105999999996</v>
      </c>
      <c r="P13" s="2">
        <v>2.6132842999999999E-2</v>
      </c>
      <c r="R13" s="2">
        <f t="shared" si="1"/>
        <v>-3.04297882245E-3</v>
      </c>
      <c r="S13" s="2">
        <f t="shared" si="0"/>
        <v>3.5801128812750003E-3</v>
      </c>
      <c r="T13" s="2">
        <f t="shared" si="0"/>
        <v>3.03548725725E-2</v>
      </c>
      <c r="U13" s="2">
        <f t="shared" si="2"/>
        <v>1.154700755532301</v>
      </c>
    </row>
    <row r="14" spans="1:21" x14ac:dyDescent="0.3">
      <c r="B14" s="2">
        <v>2500</v>
      </c>
      <c r="C14" s="1">
        <v>5.6512606999999999E-16</v>
      </c>
      <c r="D14" s="1">
        <v>-6.5255150000000005E-16</v>
      </c>
      <c r="E14" s="2">
        <v>5.0000000000000001E-4</v>
      </c>
      <c r="F14" s="2">
        <v>5.1620414999999999</v>
      </c>
      <c r="G14" s="2">
        <v>1.5390448999999999</v>
      </c>
      <c r="H14" s="2">
        <v>0.47149290999999999</v>
      </c>
      <c r="I14" s="2">
        <v>0.26730134999999999</v>
      </c>
      <c r="J14" s="1">
        <v>5.7963412000000004E-14</v>
      </c>
      <c r="K14" s="2">
        <v>-377.21627999999998</v>
      </c>
      <c r="L14" s="2">
        <v>344.85982999999999</v>
      </c>
      <c r="M14" s="2">
        <v>-6196.4041999999999</v>
      </c>
      <c r="N14" s="2">
        <v>75.439031999999997</v>
      </c>
      <c r="O14" s="2">
        <v>65.332105999999996</v>
      </c>
      <c r="P14" s="2">
        <v>3.2666053E-2</v>
      </c>
      <c r="R14" s="2">
        <f t="shared" si="1"/>
        <v>3.8221439571E-3</v>
      </c>
      <c r="S14" s="2">
        <f t="shared" si="0"/>
        <v>-3.4942922274749997E-3</v>
      </c>
      <c r="T14" s="2">
        <f t="shared" si="0"/>
        <v>6.27850655565E-2</v>
      </c>
      <c r="U14" s="2">
        <f t="shared" si="2"/>
        <v>1.154700755532301</v>
      </c>
    </row>
    <row r="15" spans="1:21" x14ac:dyDescent="0.3">
      <c r="B15" s="2">
        <v>3000</v>
      </c>
      <c r="C15" s="1">
        <v>5.6512606999999999E-16</v>
      </c>
      <c r="D15" s="1">
        <v>-6.5255150000000005E-16</v>
      </c>
      <c r="E15" s="2">
        <v>5.9999999999999995E-4</v>
      </c>
      <c r="F15" s="2">
        <v>4.9730425</v>
      </c>
      <c r="G15" s="2">
        <v>1.5705602999999999</v>
      </c>
      <c r="H15" s="2">
        <v>0.52044182000000005</v>
      </c>
      <c r="I15" s="2">
        <v>0.27916758000000003</v>
      </c>
      <c r="J15" s="1">
        <v>5.9542814999999996E-14</v>
      </c>
      <c r="K15" s="2">
        <v>321.87914999999998</v>
      </c>
      <c r="L15" s="2">
        <v>-286.76772</v>
      </c>
      <c r="M15" s="2">
        <v>-5100.5734000000002</v>
      </c>
      <c r="N15" s="2">
        <v>75.439031999999997</v>
      </c>
      <c r="O15" s="2">
        <v>65.332105999999996</v>
      </c>
      <c r="P15" s="2">
        <v>3.9199263999999998E-2</v>
      </c>
      <c r="R15" s="2">
        <f t="shared" si="1"/>
        <v>-3.2614404873749997E-3</v>
      </c>
      <c r="S15" s="2">
        <f t="shared" si="0"/>
        <v>2.9056739229E-3</v>
      </c>
      <c r="T15" s="2">
        <f t="shared" si="0"/>
        <v>5.1681559975500002E-2</v>
      </c>
      <c r="U15" s="2">
        <f t="shared" si="2"/>
        <v>1.154700755532301</v>
      </c>
    </row>
    <row r="16" spans="1:21" x14ac:dyDescent="0.3">
      <c r="B16" s="2">
        <v>3500</v>
      </c>
      <c r="C16" s="1">
        <v>5.6512606999999999E-16</v>
      </c>
      <c r="D16" s="1">
        <v>-6.5255150000000005E-16</v>
      </c>
      <c r="E16" s="2">
        <v>6.9999999999999999E-4</v>
      </c>
      <c r="F16" s="2">
        <v>5.1459272</v>
      </c>
      <c r="G16" s="2">
        <v>1.5821540000000001</v>
      </c>
      <c r="H16" s="2">
        <v>0.50740953</v>
      </c>
      <c r="I16" s="2">
        <v>0.27699196999999998</v>
      </c>
      <c r="J16" s="1">
        <v>5.9238836000000003E-14</v>
      </c>
      <c r="K16" s="2">
        <v>-137.19946999999999</v>
      </c>
      <c r="L16" s="2">
        <v>168.65313</v>
      </c>
      <c r="M16" s="2">
        <v>-7664.2272000000003</v>
      </c>
      <c r="N16" s="2">
        <v>75.439031999999997</v>
      </c>
      <c r="O16" s="2">
        <v>65.332105999999996</v>
      </c>
      <c r="P16" s="2">
        <v>4.5732474000000002E-2</v>
      </c>
      <c r="R16" s="2">
        <f t="shared" si="1"/>
        <v>1.3901736297749999E-3</v>
      </c>
      <c r="S16" s="2">
        <f t="shared" si="0"/>
        <v>-1.708877839725E-3</v>
      </c>
      <c r="T16" s="2">
        <f t="shared" si="0"/>
        <v>7.7657782103999998E-2</v>
      </c>
      <c r="U16" s="2">
        <f t="shared" si="2"/>
        <v>1.154700755532301</v>
      </c>
    </row>
    <row r="17" spans="2:21" x14ac:dyDescent="0.3">
      <c r="B17" s="2">
        <v>4000</v>
      </c>
      <c r="C17" s="1">
        <v>5.6512606999999999E-16</v>
      </c>
      <c r="D17" s="1">
        <v>-6.5255150000000005E-16</v>
      </c>
      <c r="E17" s="2">
        <v>8.0000000000000004E-4</v>
      </c>
      <c r="F17" s="2">
        <v>5.0476520999999996</v>
      </c>
      <c r="G17" s="2">
        <v>1.5689154000000001</v>
      </c>
      <c r="H17" s="2">
        <v>0.49740783999999999</v>
      </c>
      <c r="I17" s="2">
        <v>0.28899019999999997</v>
      </c>
      <c r="J17" s="1">
        <v>5.9916960000000003E-14</v>
      </c>
      <c r="K17" s="2">
        <v>-8.2267337000000005</v>
      </c>
      <c r="L17" s="2">
        <v>-3.6041908999999999</v>
      </c>
      <c r="M17" s="2">
        <v>-8110.2609000000002</v>
      </c>
      <c r="N17" s="2">
        <v>75.439031999999997</v>
      </c>
      <c r="O17" s="2">
        <v>65.332105999999996</v>
      </c>
      <c r="P17" s="2">
        <v>5.2265684999999999E-2</v>
      </c>
      <c r="R17" s="2">
        <f t="shared" si="1"/>
        <v>8.3357379215250003E-5</v>
      </c>
      <c r="S17" s="2">
        <f t="shared" si="0"/>
        <v>3.6519464294249999E-5</v>
      </c>
      <c r="T17" s="2">
        <f t="shared" si="0"/>
        <v>8.2177218569250005E-2</v>
      </c>
      <c r="U17" s="2">
        <f t="shared" si="2"/>
        <v>1.154700755532301</v>
      </c>
    </row>
    <row r="18" spans="2:21" x14ac:dyDescent="0.3">
      <c r="B18" s="2">
        <v>4500</v>
      </c>
      <c r="C18" s="1">
        <v>5.6512606999999999E-16</v>
      </c>
      <c r="D18" s="1">
        <v>-6.5255150000000005E-16</v>
      </c>
      <c r="E18" s="2">
        <v>8.9999999999999998E-4</v>
      </c>
      <c r="F18" s="2">
        <v>4.6782000000000004</v>
      </c>
      <c r="G18" s="2">
        <v>1.5408272000000001</v>
      </c>
      <c r="H18" s="2">
        <v>0.51168329000000001</v>
      </c>
      <c r="I18" s="2">
        <v>0.30390124000000002</v>
      </c>
      <c r="J18" s="1">
        <v>5.8166360999999999E-14</v>
      </c>
      <c r="K18" s="2">
        <v>112.62523</v>
      </c>
      <c r="L18" s="2">
        <v>-150.40282999999999</v>
      </c>
      <c r="M18" s="2">
        <v>-8607.4493000000002</v>
      </c>
      <c r="N18" s="2">
        <v>75.439031999999997</v>
      </c>
      <c r="O18" s="2">
        <v>65.332105999999996</v>
      </c>
      <c r="P18" s="2">
        <v>5.8798896000000003E-2</v>
      </c>
      <c r="R18" s="2">
        <f t="shared" si="1"/>
        <v>-1.141175142975E-3</v>
      </c>
      <c r="S18" s="2">
        <f t="shared" si="0"/>
        <v>1.5239566749749999E-3</v>
      </c>
      <c r="T18" s="2">
        <f t="shared" si="0"/>
        <v>8.7214980032250006E-2</v>
      </c>
      <c r="U18" s="2">
        <f t="shared" si="2"/>
        <v>1.154700755532301</v>
      </c>
    </row>
    <row r="19" spans="2:21" x14ac:dyDescent="0.3">
      <c r="B19" s="2">
        <v>5000</v>
      </c>
      <c r="C19" s="1">
        <v>5.6512606999999999E-16</v>
      </c>
      <c r="D19" s="1">
        <v>-6.5255150000000005E-16</v>
      </c>
      <c r="E19" s="2">
        <v>1E-3</v>
      </c>
      <c r="F19" s="2">
        <v>5.0526397999999997</v>
      </c>
      <c r="G19" s="2">
        <v>1.5358461000000001</v>
      </c>
      <c r="H19" s="2">
        <v>0.48622978</v>
      </c>
      <c r="I19" s="2">
        <v>0.26632576000000002</v>
      </c>
      <c r="J19" s="1">
        <v>5.8527626999999996E-14</v>
      </c>
      <c r="K19" s="2">
        <v>-259.07184000000001</v>
      </c>
      <c r="L19" s="2">
        <v>244.14610999999999</v>
      </c>
      <c r="M19" s="2">
        <v>-11018.055</v>
      </c>
      <c r="N19" s="2">
        <v>75.439031999999997</v>
      </c>
      <c r="O19" s="2">
        <v>65.332105999999996</v>
      </c>
      <c r="P19" s="2">
        <v>6.5332106000000001E-2</v>
      </c>
      <c r="R19" s="2">
        <f t="shared" si="1"/>
        <v>2.6250454188000002E-3</v>
      </c>
      <c r="S19" s="2">
        <f t="shared" si="0"/>
        <v>-2.4738104595749999E-3</v>
      </c>
      <c r="T19" s="2">
        <f t="shared" si="0"/>
        <v>0.1116404422875</v>
      </c>
      <c r="U19" s="2">
        <f t="shared" si="2"/>
        <v>1.154700755532301</v>
      </c>
    </row>
    <row r="20" spans="2:21" x14ac:dyDescent="0.3">
      <c r="B20" s="2">
        <v>5500</v>
      </c>
      <c r="C20" s="1">
        <v>5.6512606999999999E-16</v>
      </c>
      <c r="D20" s="1">
        <v>-6.5255150000000005E-16</v>
      </c>
      <c r="E20" s="2">
        <v>1.1000000000000001E-3</v>
      </c>
      <c r="F20" s="2">
        <v>5.0180657999999996</v>
      </c>
      <c r="G20" s="2">
        <v>1.580864</v>
      </c>
      <c r="H20" s="2">
        <v>0.50162527999999995</v>
      </c>
      <c r="I20" s="2">
        <v>0.30130801000000001</v>
      </c>
      <c r="J20" s="1">
        <v>6.2589488999999999E-14</v>
      </c>
      <c r="K20" s="2">
        <v>269.87153999999998</v>
      </c>
      <c r="L20" s="2">
        <v>-296.55606</v>
      </c>
      <c r="M20" s="2">
        <v>-10040.758</v>
      </c>
      <c r="N20" s="2">
        <v>75.439031999999997</v>
      </c>
      <c r="O20" s="2">
        <v>65.332105999999996</v>
      </c>
      <c r="P20" s="2">
        <v>7.1865316999999998E-2</v>
      </c>
      <c r="R20" s="2">
        <f t="shared" si="1"/>
        <v>-2.73447337905E-3</v>
      </c>
      <c r="S20" s="2">
        <f t="shared" si="0"/>
        <v>3.0048542779500002E-3</v>
      </c>
      <c r="T20" s="2">
        <f t="shared" si="0"/>
        <v>0.101737980435</v>
      </c>
      <c r="U20" s="2">
        <f t="shared" si="2"/>
        <v>1.154700755532301</v>
      </c>
    </row>
    <row r="21" spans="2:21" x14ac:dyDescent="0.3">
      <c r="B21" s="2">
        <v>6000</v>
      </c>
      <c r="C21" s="1">
        <v>5.6512606999999999E-16</v>
      </c>
      <c r="D21" s="1">
        <v>-6.5255150000000005E-16</v>
      </c>
      <c r="E21" s="2">
        <v>1.1999999999999999E-3</v>
      </c>
      <c r="F21" s="2">
        <v>5.1260994000000002</v>
      </c>
      <c r="G21" s="2">
        <v>1.6061303</v>
      </c>
      <c r="H21" s="2">
        <v>0.52251537999999997</v>
      </c>
      <c r="I21" s="2">
        <v>0.28893626</v>
      </c>
      <c r="J21" s="1">
        <v>6.0149440999999995E-14</v>
      </c>
      <c r="K21" s="2">
        <v>-408.87342000000001</v>
      </c>
      <c r="L21" s="2">
        <v>451.44637</v>
      </c>
      <c r="M21" s="2">
        <v>-13250.599</v>
      </c>
      <c r="N21" s="2">
        <v>75.439031999999997</v>
      </c>
      <c r="O21" s="2">
        <v>65.332105999999996</v>
      </c>
      <c r="P21" s="2">
        <v>7.8398527999999995E-2</v>
      </c>
      <c r="R21" s="2">
        <f t="shared" si="1"/>
        <v>4.1429099281499997E-3</v>
      </c>
      <c r="S21" s="2">
        <f t="shared" si="0"/>
        <v>-4.5742803440250003E-3</v>
      </c>
      <c r="T21" s="2">
        <f t="shared" si="0"/>
        <v>0.13426169436749999</v>
      </c>
      <c r="U21" s="2">
        <f t="shared" si="2"/>
        <v>1.154700755532301</v>
      </c>
    </row>
    <row r="22" spans="2:21" x14ac:dyDescent="0.3">
      <c r="B22" s="2">
        <v>6500</v>
      </c>
      <c r="C22" s="1">
        <v>5.6512606999999999E-16</v>
      </c>
      <c r="D22" s="1">
        <v>-6.5255150000000005E-16</v>
      </c>
      <c r="E22" s="2">
        <v>1.2999999999999999E-3</v>
      </c>
      <c r="F22" s="2">
        <v>5.1542336999999998</v>
      </c>
      <c r="G22" s="2">
        <v>1.6238173</v>
      </c>
      <c r="H22" s="2">
        <v>0.51941937000000005</v>
      </c>
      <c r="I22" s="2">
        <v>0.30535773999999999</v>
      </c>
      <c r="J22" s="1">
        <v>5.9162453000000004E-14</v>
      </c>
      <c r="K22" s="2">
        <v>420.11795000000001</v>
      </c>
      <c r="L22" s="2">
        <v>-402.73128000000003</v>
      </c>
      <c r="M22" s="2">
        <v>-12334.745999999999</v>
      </c>
      <c r="N22" s="2">
        <v>75.439031999999997</v>
      </c>
      <c r="O22" s="2">
        <v>65.332105999999996</v>
      </c>
      <c r="P22" s="2">
        <v>8.4931738000000007E-2</v>
      </c>
      <c r="R22" s="2">
        <f t="shared" si="1"/>
        <v>-4.2568451283750003E-3</v>
      </c>
      <c r="S22" s="2">
        <f t="shared" si="0"/>
        <v>4.0806746946000002E-3</v>
      </c>
      <c r="T22" s="2">
        <f t="shared" si="0"/>
        <v>0.124981813845</v>
      </c>
      <c r="U22" s="2">
        <f t="shared" si="2"/>
        <v>1.154700755532301</v>
      </c>
    </row>
    <row r="23" spans="2:21" x14ac:dyDescent="0.3">
      <c r="B23" s="2">
        <v>7000</v>
      </c>
      <c r="C23" s="1">
        <v>5.6512606999999999E-16</v>
      </c>
      <c r="D23" s="1">
        <v>-6.5255150000000005E-16</v>
      </c>
      <c r="E23" s="2">
        <v>1.4E-3</v>
      </c>
      <c r="F23" s="2">
        <v>4.9696005999999997</v>
      </c>
      <c r="G23" s="2">
        <v>1.6387588</v>
      </c>
      <c r="H23" s="2">
        <v>0.54643324000000004</v>
      </c>
      <c r="I23" s="2">
        <v>0.32190827999999999</v>
      </c>
      <c r="J23" s="1">
        <v>5.8707261000000004E-14</v>
      </c>
      <c r="K23" s="2">
        <v>-369.09035</v>
      </c>
      <c r="L23" s="2">
        <v>406.29333000000003</v>
      </c>
      <c r="M23" s="2">
        <v>-14609.852999999999</v>
      </c>
      <c r="N23" s="2">
        <v>75.439031999999997</v>
      </c>
      <c r="O23" s="2">
        <v>65.332105999999996</v>
      </c>
      <c r="P23" s="2">
        <v>9.1464949000000004E-2</v>
      </c>
      <c r="R23" s="2">
        <f t="shared" si="1"/>
        <v>3.7398079713749999E-3</v>
      </c>
      <c r="S23" s="2">
        <f t="shared" si="0"/>
        <v>-4.1167671662250003E-3</v>
      </c>
      <c r="T23" s="2">
        <f t="shared" si="0"/>
        <v>0.1480343355225</v>
      </c>
      <c r="U23" s="2">
        <f t="shared" si="2"/>
        <v>1.154700755532301</v>
      </c>
    </row>
    <row r="24" spans="2:21" x14ac:dyDescent="0.3">
      <c r="B24" s="2">
        <v>7500</v>
      </c>
      <c r="C24" s="1">
        <v>5.6512606999999999E-16</v>
      </c>
      <c r="D24" s="1">
        <v>-6.5255150000000005E-16</v>
      </c>
      <c r="E24" s="2">
        <v>1.5E-3</v>
      </c>
      <c r="F24" s="2">
        <v>4.8378202000000003</v>
      </c>
      <c r="G24" s="2">
        <v>1.5767343</v>
      </c>
      <c r="H24" s="2">
        <v>0.50632608000000001</v>
      </c>
      <c r="I24" s="2">
        <v>0.32042029</v>
      </c>
      <c r="J24" s="1">
        <v>5.8545391000000004E-14</v>
      </c>
      <c r="K24" s="2">
        <v>193.15136999999999</v>
      </c>
      <c r="L24" s="2">
        <v>-251.97301999999999</v>
      </c>
      <c r="M24" s="2">
        <v>-15253.142</v>
      </c>
      <c r="N24" s="2">
        <v>75.439031999999997</v>
      </c>
      <c r="O24" s="2">
        <v>65.332105999999996</v>
      </c>
      <c r="P24" s="2">
        <v>9.7998160000000001E-2</v>
      </c>
      <c r="R24" s="2">
        <f t="shared" si="1"/>
        <v>-1.9571062565249997E-3</v>
      </c>
      <c r="S24" s="2">
        <f t="shared" si="0"/>
        <v>2.5531166251499997E-3</v>
      </c>
      <c r="T24" s="2">
        <f t="shared" si="0"/>
        <v>0.154552461315</v>
      </c>
      <c r="U24" s="2">
        <f t="shared" si="2"/>
        <v>1.154700755532301</v>
      </c>
    </row>
    <row r="25" spans="2:21" x14ac:dyDescent="0.3">
      <c r="B25" s="2">
        <v>8000</v>
      </c>
      <c r="C25" s="1">
        <v>5.6512606999999999E-16</v>
      </c>
      <c r="D25" s="1">
        <v>-6.5255150000000005E-16</v>
      </c>
      <c r="E25" s="2">
        <v>1.6000000000000001E-3</v>
      </c>
      <c r="F25" s="2">
        <v>4.8788926999999997</v>
      </c>
      <c r="G25" s="2">
        <v>1.5990021000000001</v>
      </c>
      <c r="H25" s="2">
        <v>0.51396527999999997</v>
      </c>
      <c r="I25" s="2">
        <v>0.32868161000000001</v>
      </c>
      <c r="J25" s="1">
        <v>5.9216632E-14</v>
      </c>
      <c r="K25" s="2">
        <v>-157.38481999999999</v>
      </c>
      <c r="L25" s="2">
        <v>107.9371</v>
      </c>
      <c r="M25" s="2">
        <v>-15609.669</v>
      </c>
      <c r="N25" s="2">
        <v>75.439031999999997</v>
      </c>
      <c r="O25" s="2">
        <v>65.332105999999996</v>
      </c>
      <c r="P25" s="2">
        <v>0.10453137</v>
      </c>
      <c r="R25" s="2">
        <f t="shared" si="1"/>
        <v>1.5947016886499999E-3</v>
      </c>
      <c r="S25" s="2">
        <f t="shared" si="0"/>
        <v>-1.09367266575E-3</v>
      </c>
      <c r="T25" s="2">
        <f t="shared" si="0"/>
        <v>0.1581649711425</v>
      </c>
      <c r="U25" s="2">
        <f t="shared" si="2"/>
        <v>1.154700755532301</v>
      </c>
    </row>
    <row r="26" spans="2:21" x14ac:dyDescent="0.3">
      <c r="B26" s="2">
        <v>8500</v>
      </c>
      <c r="C26" s="1">
        <v>5.6512606999999999E-16</v>
      </c>
      <c r="D26" s="1">
        <v>-6.5255150000000005E-16</v>
      </c>
      <c r="E26" s="2">
        <v>1.6999999999999999E-3</v>
      </c>
      <c r="F26" s="2">
        <v>4.9741302999999997</v>
      </c>
      <c r="G26" s="2">
        <v>1.6333696</v>
      </c>
      <c r="H26" s="2">
        <v>0.53858877999999999</v>
      </c>
      <c r="I26" s="2">
        <v>0.32366128999999999</v>
      </c>
      <c r="J26" s="1">
        <v>5.8632210000000005E-14</v>
      </c>
      <c r="K26" s="2">
        <v>-86.881950000000003</v>
      </c>
      <c r="L26" s="2">
        <v>88.445089999999993</v>
      </c>
      <c r="M26" s="2">
        <v>-18056.02</v>
      </c>
      <c r="N26" s="2">
        <v>75.439031999999997</v>
      </c>
      <c r="O26" s="2">
        <v>65.332105999999996</v>
      </c>
      <c r="P26" s="2">
        <v>0.11106458</v>
      </c>
      <c r="R26" s="2">
        <f t="shared" si="1"/>
        <v>8.8033135837500007E-4</v>
      </c>
      <c r="S26" s="2">
        <f t="shared" si="0"/>
        <v>-8.961698744249999E-4</v>
      </c>
      <c r="T26" s="2">
        <f t="shared" si="0"/>
        <v>0.18295262265000001</v>
      </c>
      <c r="U26" s="2">
        <f t="shared" si="2"/>
        <v>1.154700755532301</v>
      </c>
    </row>
    <row r="27" spans="2:21" x14ac:dyDescent="0.3">
      <c r="B27" s="2">
        <v>9000</v>
      </c>
      <c r="C27" s="1">
        <v>5.6512606999999999E-16</v>
      </c>
      <c r="D27" s="1">
        <v>-6.5255150000000005E-16</v>
      </c>
      <c r="E27" s="2">
        <v>1.8E-3</v>
      </c>
      <c r="F27" s="2">
        <v>5.3193640000000002</v>
      </c>
      <c r="G27" s="2">
        <v>1.6686962000000001</v>
      </c>
      <c r="H27" s="2">
        <v>0.51184881999999998</v>
      </c>
      <c r="I27" s="2">
        <v>0.33220766000000002</v>
      </c>
      <c r="J27" s="1">
        <v>6.0257798999999999E-14</v>
      </c>
      <c r="K27" s="2">
        <v>265.39332000000002</v>
      </c>
      <c r="L27" s="2">
        <v>-283.72248000000002</v>
      </c>
      <c r="M27" s="2">
        <v>-17192.647000000001</v>
      </c>
      <c r="N27" s="2">
        <v>75.439031999999997</v>
      </c>
      <c r="O27" s="2">
        <v>65.332105999999996</v>
      </c>
      <c r="P27" s="2">
        <v>0.11759778999999999</v>
      </c>
      <c r="R27" s="2">
        <f t="shared" si="1"/>
        <v>-2.6890978149E-3</v>
      </c>
      <c r="S27" s="2">
        <f t="shared" si="0"/>
        <v>2.8748180286000003E-3</v>
      </c>
      <c r="T27" s="2">
        <f t="shared" si="0"/>
        <v>0.17420449572750002</v>
      </c>
      <c r="U27" s="2">
        <f t="shared" si="2"/>
        <v>1.154700755532301</v>
      </c>
    </row>
    <row r="28" spans="2:21" x14ac:dyDescent="0.3">
      <c r="B28" s="2">
        <v>9500</v>
      </c>
      <c r="C28" s="1">
        <v>5.6512606999999999E-16</v>
      </c>
      <c r="D28" s="1">
        <v>-6.5255150000000005E-16</v>
      </c>
      <c r="E28" s="2">
        <v>1.9E-3</v>
      </c>
      <c r="F28" s="2">
        <v>5.2042115999999998</v>
      </c>
      <c r="G28" s="2">
        <v>1.595755</v>
      </c>
      <c r="H28" s="2">
        <v>0.48511209999999999</v>
      </c>
      <c r="I28" s="2">
        <v>0.30385476</v>
      </c>
      <c r="J28" s="1">
        <v>5.9365623999999996E-14</v>
      </c>
      <c r="K28" s="2">
        <v>-552.73868000000004</v>
      </c>
      <c r="L28" s="2">
        <v>493.99185</v>
      </c>
      <c r="M28" s="2">
        <v>-20173.636999999999</v>
      </c>
      <c r="N28" s="2">
        <v>75.439031999999997</v>
      </c>
      <c r="O28" s="2">
        <v>65.332105999999996</v>
      </c>
      <c r="P28" s="2">
        <v>0.12413100000000001</v>
      </c>
      <c r="R28" s="2">
        <f t="shared" si="1"/>
        <v>5.6006246751000004E-3</v>
      </c>
      <c r="S28" s="2">
        <f t="shared" si="0"/>
        <v>-5.005372420125E-3</v>
      </c>
      <c r="T28" s="2">
        <f t="shared" si="0"/>
        <v>0.2044093769025</v>
      </c>
      <c r="U28" s="2">
        <f t="shared" si="2"/>
        <v>1.154700755532301</v>
      </c>
    </row>
    <row r="29" spans="2:21" x14ac:dyDescent="0.3">
      <c r="B29" s="2">
        <v>10000</v>
      </c>
      <c r="C29" s="1">
        <v>5.6512606999999999E-16</v>
      </c>
      <c r="D29" s="1">
        <v>-6.5255150000000005E-16</v>
      </c>
      <c r="E29" s="2">
        <v>2E-3</v>
      </c>
      <c r="F29" s="2">
        <v>4.8905291000000002</v>
      </c>
      <c r="G29" s="2">
        <v>1.6128096000000001</v>
      </c>
      <c r="H29" s="2">
        <v>0.51404970999999999</v>
      </c>
      <c r="I29" s="2">
        <v>0.34060073000000002</v>
      </c>
      <c r="J29" s="1">
        <v>5.8703042E-14</v>
      </c>
      <c r="K29" s="2">
        <v>692.72685999999999</v>
      </c>
      <c r="L29" s="2">
        <v>-760.46006999999997</v>
      </c>
      <c r="M29" s="2">
        <v>-19601.544000000002</v>
      </c>
      <c r="N29" s="2">
        <v>75.439031999999997</v>
      </c>
      <c r="O29" s="2">
        <v>65.332105999999996</v>
      </c>
      <c r="P29" s="2">
        <v>0.13066421</v>
      </c>
      <c r="R29" s="2">
        <f t="shared" si="1"/>
        <v>-7.0190549089499997E-3</v>
      </c>
      <c r="S29" s="2">
        <f t="shared" si="0"/>
        <v>7.705361659275E-3</v>
      </c>
      <c r="T29" s="2">
        <f t="shared" si="0"/>
        <v>0.19861264458000003</v>
      </c>
      <c r="U29" s="2">
        <f t="shared" si="2"/>
        <v>1.154700755532301</v>
      </c>
    </row>
    <row r="30" spans="2:21" x14ac:dyDescent="0.3">
      <c r="B30" s="2">
        <v>10500</v>
      </c>
      <c r="C30" s="1">
        <v>5.6512606999999999E-16</v>
      </c>
      <c r="D30" s="1">
        <v>-6.5255150000000005E-16</v>
      </c>
      <c r="E30" s="2">
        <v>2.0999999999999999E-3</v>
      </c>
      <c r="F30" s="2">
        <v>5.1389602999999999</v>
      </c>
      <c r="G30" s="2">
        <v>1.6689837000000001</v>
      </c>
      <c r="H30" s="2">
        <v>0.52858477999999998</v>
      </c>
      <c r="I30" s="2">
        <v>0.34372644000000002</v>
      </c>
      <c r="J30" s="1">
        <v>5.8735017000000005E-14</v>
      </c>
      <c r="K30" s="2">
        <v>-787.73384999999996</v>
      </c>
      <c r="L30" s="2">
        <v>764.46173999999996</v>
      </c>
      <c r="M30" s="2">
        <v>-21540.309000000001</v>
      </c>
      <c r="N30" s="2">
        <v>75.439031999999997</v>
      </c>
      <c r="O30" s="2">
        <v>65.332105999999996</v>
      </c>
      <c r="P30" s="2">
        <v>0.13719741999999999</v>
      </c>
      <c r="R30" s="2">
        <f t="shared" si="1"/>
        <v>7.981713235124999E-3</v>
      </c>
      <c r="S30" s="2">
        <f t="shared" si="0"/>
        <v>-7.7459085805499997E-3</v>
      </c>
      <c r="T30" s="2">
        <f t="shared" si="0"/>
        <v>0.21825718094250002</v>
      </c>
      <c r="U30" s="2">
        <f t="shared" si="2"/>
        <v>1.154700755532301</v>
      </c>
    </row>
    <row r="31" spans="2:21" x14ac:dyDescent="0.3">
      <c r="B31" s="2">
        <v>11000</v>
      </c>
      <c r="C31" s="1">
        <v>5.6512606999999999E-16</v>
      </c>
      <c r="D31" s="1">
        <v>-6.5255150000000005E-16</v>
      </c>
      <c r="E31" s="2">
        <v>2.2000000000000001E-3</v>
      </c>
      <c r="F31" s="2">
        <v>5.0930559000000004</v>
      </c>
      <c r="G31" s="2">
        <v>1.6825684000000001</v>
      </c>
      <c r="H31" s="2">
        <v>0.55707329000000005</v>
      </c>
      <c r="I31" s="2">
        <v>0.33593898999999999</v>
      </c>
      <c r="J31" s="1">
        <v>5.9911408999999999E-14</v>
      </c>
      <c r="K31" s="2">
        <v>682.92664000000002</v>
      </c>
      <c r="L31" s="2">
        <v>-646.02570000000003</v>
      </c>
      <c r="M31" s="2">
        <v>-22382.272000000001</v>
      </c>
      <c r="N31" s="2">
        <v>75.439031999999997</v>
      </c>
      <c r="O31" s="2">
        <v>65.332105999999996</v>
      </c>
      <c r="P31" s="2">
        <v>0.14373063</v>
      </c>
      <c r="R31" s="2">
        <f t="shared" si="1"/>
        <v>-6.9197541798000006E-3</v>
      </c>
      <c r="S31" s="2">
        <f t="shared" si="0"/>
        <v>6.54585540525E-3</v>
      </c>
      <c r="T31" s="2">
        <f t="shared" si="0"/>
        <v>0.22678837104000002</v>
      </c>
      <c r="U31" s="2">
        <f t="shared" si="2"/>
        <v>1.154700755532301</v>
      </c>
    </row>
    <row r="32" spans="2:21" x14ac:dyDescent="0.3">
      <c r="B32" s="2">
        <v>11500</v>
      </c>
      <c r="C32" s="1">
        <v>5.6512606999999999E-16</v>
      </c>
      <c r="D32" s="1">
        <v>-6.5255150000000005E-16</v>
      </c>
      <c r="E32" s="2">
        <v>2.3E-3</v>
      </c>
      <c r="F32" s="2">
        <v>5.2228094</v>
      </c>
      <c r="G32" s="2">
        <v>1.6725262000000001</v>
      </c>
      <c r="H32" s="2">
        <v>0.52134696999999997</v>
      </c>
      <c r="I32" s="2">
        <v>0.34150796999999999</v>
      </c>
      <c r="J32" s="1">
        <v>5.9877214000000003E-14</v>
      </c>
      <c r="K32" s="2">
        <v>-412.85109</v>
      </c>
      <c r="L32" s="2">
        <v>384.46255000000002</v>
      </c>
      <c r="M32" s="2">
        <v>-22825.213</v>
      </c>
      <c r="N32" s="2">
        <v>75.439031999999997</v>
      </c>
      <c r="O32" s="2">
        <v>65.332105999999996</v>
      </c>
      <c r="P32" s="2">
        <v>0.15026384000000001</v>
      </c>
      <c r="R32" s="2">
        <f t="shared" si="1"/>
        <v>4.1832136694249997E-3</v>
      </c>
      <c r="S32" s="2">
        <f t="shared" si="0"/>
        <v>-3.8955667878750001E-3</v>
      </c>
      <c r="T32" s="2">
        <f t="shared" si="0"/>
        <v>0.23127647072249999</v>
      </c>
      <c r="U32" s="2">
        <f t="shared" si="2"/>
        <v>1.154700755532301</v>
      </c>
    </row>
    <row r="33" spans="2:21" x14ac:dyDescent="0.3">
      <c r="B33" s="2">
        <v>12000</v>
      </c>
      <c r="C33" s="1">
        <v>5.6512606999999999E-16</v>
      </c>
      <c r="D33" s="1">
        <v>-6.5255150000000005E-16</v>
      </c>
      <c r="E33" s="2">
        <v>2.3999999999999998E-3</v>
      </c>
      <c r="F33" s="2">
        <v>4.9304721000000002</v>
      </c>
      <c r="G33" s="2">
        <v>1.6480186999999999</v>
      </c>
      <c r="H33" s="2">
        <v>0.52782467</v>
      </c>
      <c r="I33" s="2">
        <v>0.35584261</v>
      </c>
      <c r="J33" s="1">
        <v>5.8405947000000004E-14</v>
      </c>
      <c r="K33" s="2">
        <v>-108.96129000000001</v>
      </c>
      <c r="L33" s="2">
        <v>42.623255999999998</v>
      </c>
      <c r="M33" s="2">
        <v>-24910.76</v>
      </c>
      <c r="N33" s="2">
        <v>75.439031999999997</v>
      </c>
      <c r="O33" s="2">
        <v>65.332105999999996</v>
      </c>
      <c r="P33" s="2">
        <v>0.15679705999999999</v>
      </c>
      <c r="R33" s="2">
        <f t="shared" si="1"/>
        <v>1.104050270925E-3</v>
      </c>
      <c r="S33" s="2">
        <f t="shared" si="0"/>
        <v>-4.3188014142E-4</v>
      </c>
      <c r="T33" s="2">
        <f t="shared" si="0"/>
        <v>0.25240827569999996</v>
      </c>
      <c r="U33" s="2">
        <f t="shared" si="2"/>
        <v>1.154700755532301</v>
      </c>
    </row>
    <row r="34" spans="2:21" x14ac:dyDescent="0.3">
      <c r="B34" s="2">
        <v>12500</v>
      </c>
      <c r="C34" s="1">
        <v>5.6512606999999999E-16</v>
      </c>
      <c r="D34" s="1">
        <v>-6.5255150000000005E-16</v>
      </c>
      <c r="E34" s="2">
        <v>2.5000000000000001E-3</v>
      </c>
      <c r="F34" s="2">
        <v>4.9936932000000001</v>
      </c>
      <c r="G34" s="2">
        <v>1.6211009000000001</v>
      </c>
      <c r="H34" s="2">
        <v>0.51529475000000002</v>
      </c>
      <c r="I34" s="2">
        <v>0.33165383999999998</v>
      </c>
      <c r="J34" s="1">
        <v>5.9769079000000002E-14</v>
      </c>
      <c r="K34" s="2">
        <v>326.90485999999999</v>
      </c>
      <c r="L34" s="2">
        <v>-388.47640000000001</v>
      </c>
      <c r="M34" s="2">
        <v>-24646.5</v>
      </c>
      <c r="N34" s="2">
        <v>75.439031999999997</v>
      </c>
      <c r="O34" s="2">
        <v>65.332105999999996</v>
      </c>
      <c r="P34" s="2">
        <v>0.16333027</v>
      </c>
      <c r="R34" s="2">
        <f t="shared" si="1"/>
        <v>-3.3123634939499999E-3</v>
      </c>
      <c r="S34" s="2">
        <f t="shared" si="0"/>
        <v>3.9362371230000004E-3</v>
      </c>
      <c r="T34" s="2">
        <f t="shared" si="0"/>
        <v>0.24973066124999999</v>
      </c>
      <c r="U34" s="2">
        <f t="shared" si="2"/>
        <v>1.154700755532301</v>
      </c>
    </row>
    <row r="35" spans="2:21" x14ac:dyDescent="0.3">
      <c r="B35" s="2">
        <v>13000</v>
      </c>
      <c r="C35" s="1">
        <v>5.6512606999999999E-16</v>
      </c>
      <c r="D35" s="1">
        <v>-6.5255150000000005E-16</v>
      </c>
      <c r="E35" s="2">
        <v>2.5999999999999999E-3</v>
      </c>
      <c r="F35" s="2">
        <v>5.0923550000000004</v>
      </c>
      <c r="G35" s="2">
        <v>1.6447584</v>
      </c>
      <c r="H35" s="2">
        <v>0.51626753000000003</v>
      </c>
      <c r="I35" s="2">
        <v>0.33904339</v>
      </c>
      <c r="J35" s="1">
        <v>5.6104231999999997E-14</v>
      </c>
      <c r="K35" s="2">
        <v>-940.71992999999998</v>
      </c>
      <c r="L35" s="2">
        <v>881.13035000000002</v>
      </c>
      <c r="M35" s="2">
        <v>-26877.321</v>
      </c>
      <c r="N35" s="2">
        <v>75.439031999999997</v>
      </c>
      <c r="O35" s="2">
        <v>65.332105999999996</v>
      </c>
      <c r="P35" s="2">
        <v>0.16986348000000001</v>
      </c>
      <c r="R35" s="2">
        <f t="shared" si="1"/>
        <v>9.5318446907249992E-3</v>
      </c>
      <c r="S35" s="2">
        <f t="shared" si="0"/>
        <v>-8.9280532713750006E-3</v>
      </c>
      <c r="T35" s="2">
        <f t="shared" si="0"/>
        <v>0.27233445503249998</v>
      </c>
      <c r="U35" s="2">
        <f t="shared" si="2"/>
        <v>1.154700755532301</v>
      </c>
    </row>
    <row r="36" spans="2:21" x14ac:dyDescent="0.3">
      <c r="B36" s="2">
        <v>13500</v>
      </c>
      <c r="C36" s="1">
        <v>5.6512606999999999E-16</v>
      </c>
      <c r="D36" s="1">
        <v>-6.5255150000000005E-16</v>
      </c>
      <c r="E36" s="2">
        <v>2.7000000000000001E-3</v>
      </c>
      <c r="F36" s="2">
        <v>4.9875160000000003</v>
      </c>
      <c r="G36" s="2">
        <v>1.6890593</v>
      </c>
      <c r="H36" s="2">
        <v>0.54326739999999996</v>
      </c>
      <c r="I36" s="2">
        <v>0.37259724</v>
      </c>
      <c r="J36" s="1">
        <v>5.7998050999999996E-14</v>
      </c>
      <c r="K36" s="2">
        <v>939.33230000000003</v>
      </c>
      <c r="L36" s="2">
        <v>-995.73047999999994</v>
      </c>
      <c r="M36" s="2">
        <v>-26904.516</v>
      </c>
      <c r="N36" s="2">
        <v>75.439031999999997</v>
      </c>
      <c r="O36" s="2">
        <v>65.332105999999996</v>
      </c>
      <c r="P36" s="2">
        <v>0.17639668999999999</v>
      </c>
      <c r="R36" s="2">
        <f t="shared" si="1"/>
        <v>-9.5177845297500004E-3</v>
      </c>
      <c r="S36" s="2">
        <f t="shared" si="0"/>
        <v>1.0089239088599999E-2</v>
      </c>
      <c r="T36" s="2">
        <f t="shared" si="0"/>
        <v>0.27261000836999999</v>
      </c>
      <c r="U36" s="2">
        <f t="shared" si="2"/>
        <v>1.154700755532301</v>
      </c>
    </row>
    <row r="37" spans="2:21" x14ac:dyDescent="0.3">
      <c r="B37" s="2">
        <v>14000</v>
      </c>
      <c r="C37" s="1">
        <v>5.6512606999999999E-16</v>
      </c>
      <c r="D37" s="1">
        <v>-6.5255150000000005E-16</v>
      </c>
      <c r="E37" s="2">
        <v>2.8E-3</v>
      </c>
      <c r="F37" s="2">
        <v>4.8352738999999998</v>
      </c>
      <c r="G37" s="2">
        <v>1.6778723</v>
      </c>
      <c r="H37" s="2">
        <v>0.56919934999999999</v>
      </c>
      <c r="I37" s="2">
        <v>0.35907974999999998</v>
      </c>
      <c r="J37" s="1">
        <v>5.9418913999999994E-14</v>
      </c>
      <c r="K37" s="2">
        <v>-1174.8425999999999</v>
      </c>
      <c r="L37" s="2">
        <v>1168.1292000000001</v>
      </c>
      <c r="M37" s="2">
        <v>-28656.266</v>
      </c>
      <c r="N37" s="2">
        <v>75.439031999999997</v>
      </c>
      <c r="O37" s="2">
        <v>65.332105999999996</v>
      </c>
      <c r="P37" s="2">
        <v>0.18292990000000001</v>
      </c>
      <c r="R37" s="2">
        <f t="shared" si="1"/>
        <v>1.19040926445E-2</v>
      </c>
      <c r="S37" s="2">
        <f t="shared" si="0"/>
        <v>-1.1836069119E-2</v>
      </c>
      <c r="T37" s="2">
        <f t="shared" si="0"/>
        <v>0.29035961524499998</v>
      </c>
      <c r="U37" s="2">
        <f t="shared" si="2"/>
        <v>1.154700755532301</v>
      </c>
    </row>
    <row r="38" spans="2:21" x14ac:dyDescent="0.3">
      <c r="B38" s="2">
        <v>14500</v>
      </c>
      <c r="C38" s="1">
        <v>5.6512606999999999E-16</v>
      </c>
      <c r="D38" s="1">
        <v>-6.5255150000000005E-16</v>
      </c>
      <c r="E38" s="2">
        <v>2.8999999999999998E-3</v>
      </c>
      <c r="F38" s="2">
        <v>4.7256838999999999</v>
      </c>
      <c r="G38" s="2">
        <v>1.6409784999999999</v>
      </c>
      <c r="H38" s="2">
        <v>0.53794330000000001</v>
      </c>
      <c r="I38" s="2">
        <v>0.37043130000000002</v>
      </c>
      <c r="J38" s="1">
        <v>5.9971360999999997E-14</v>
      </c>
      <c r="K38" s="2">
        <v>834.35504000000003</v>
      </c>
      <c r="L38" s="2">
        <v>-938.59496999999999</v>
      </c>
      <c r="M38" s="2">
        <v>-29187.427</v>
      </c>
      <c r="N38" s="2">
        <v>75.439031999999997</v>
      </c>
      <c r="O38" s="2">
        <v>65.332105999999996</v>
      </c>
      <c r="P38" s="2">
        <v>0.18946310999999999</v>
      </c>
      <c r="R38" s="2">
        <f t="shared" si="1"/>
        <v>-8.4541024427999996E-3</v>
      </c>
      <c r="S38" s="2">
        <f t="shared" si="0"/>
        <v>9.5103135335249996E-3</v>
      </c>
      <c r="T38" s="2">
        <f t="shared" si="0"/>
        <v>0.2957416040775</v>
      </c>
      <c r="U38" s="2">
        <f t="shared" si="2"/>
        <v>1.154700755532301</v>
      </c>
    </row>
    <row r="39" spans="2:21" x14ac:dyDescent="0.3">
      <c r="B39" s="2">
        <v>15000</v>
      </c>
      <c r="C39" s="1">
        <v>5.6512606999999999E-16</v>
      </c>
      <c r="D39" s="1">
        <v>-6.5255150000000005E-16</v>
      </c>
      <c r="E39" s="2">
        <v>3.0000000000000001E-3</v>
      </c>
      <c r="F39" s="2">
        <v>5.0337776999999999</v>
      </c>
      <c r="G39" s="2">
        <v>1.7017388</v>
      </c>
      <c r="H39" s="2">
        <v>0.53739756999999999</v>
      </c>
      <c r="I39" s="2">
        <v>0.38397482999999999</v>
      </c>
      <c r="J39" s="1">
        <v>5.9243499000000003E-14</v>
      </c>
      <c r="K39" s="2">
        <v>-615.45417999999995</v>
      </c>
      <c r="L39" s="2">
        <v>528.02489000000003</v>
      </c>
      <c r="M39" s="2">
        <v>-30415.026000000002</v>
      </c>
      <c r="N39" s="2">
        <v>75.439031999999997</v>
      </c>
      <c r="O39" s="2">
        <v>65.332105999999996</v>
      </c>
      <c r="P39" s="2">
        <v>0.19599632</v>
      </c>
      <c r="R39" s="2">
        <f t="shared" si="1"/>
        <v>6.2360894788499998E-3</v>
      </c>
      <c r="S39" s="2">
        <f t="shared" si="0"/>
        <v>-5.3502121979250002E-3</v>
      </c>
      <c r="T39" s="2">
        <f t="shared" si="0"/>
        <v>0.30818025094500001</v>
      </c>
      <c r="U39" s="2">
        <f t="shared" si="2"/>
        <v>1.154700755532301</v>
      </c>
    </row>
    <row r="40" spans="2:21" x14ac:dyDescent="0.3">
      <c r="B40" s="2">
        <v>15500</v>
      </c>
      <c r="C40" s="1">
        <v>5.6512606999999999E-16</v>
      </c>
      <c r="D40" s="1">
        <v>-6.5255150000000005E-16</v>
      </c>
      <c r="E40" s="2">
        <v>3.0999999999999999E-3</v>
      </c>
      <c r="F40" s="2">
        <v>4.8392103000000004</v>
      </c>
      <c r="G40" s="2">
        <v>1.7305873000000001</v>
      </c>
      <c r="H40" s="2">
        <v>0.57416646999999998</v>
      </c>
      <c r="I40" s="2">
        <v>0.40621738000000002</v>
      </c>
      <c r="J40" s="1">
        <v>6.0017546000000006E-14</v>
      </c>
      <c r="K40" s="2">
        <v>-71.773769000000001</v>
      </c>
      <c r="L40" s="2">
        <v>15.755438</v>
      </c>
      <c r="M40" s="2">
        <v>-31349.252</v>
      </c>
      <c r="N40" s="2">
        <v>75.439031999999997</v>
      </c>
      <c r="O40" s="2">
        <v>65.332105999999996</v>
      </c>
      <c r="P40" s="2">
        <v>0.20252953000000001</v>
      </c>
      <c r="R40" s="2">
        <f t="shared" si="1"/>
        <v>7.272477143925E-4</v>
      </c>
      <c r="S40" s="2">
        <f t="shared" si="0"/>
        <v>-1.59641975535E-4</v>
      </c>
      <c r="T40" s="2">
        <f t="shared" si="0"/>
        <v>0.31764629588999999</v>
      </c>
      <c r="U40" s="2">
        <f t="shared" si="2"/>
        <v>1.154700755532301</v>
      </c>
    </row>
    <row r="41" spans="2:21" x14ac:dyDescent="0.3">
      <c r="B41" s="2">
        <v>16000</v>
      </c>
      <c r="C41" s="1">
        <v>5.6512606999999999E-16</v>
      </c>
      <c r="D41" s="1">
        <v>-6.5255150000000005E-16</v>
      </c>
      <c r="E41" s="2">
        <v>3.2000000000000002E-3</v>
      </c>
      <c r="F41" s="2">
        <v>5.0220022999999996</v>
      </c>
      <c r="G41" s="2">
        <v>1.7520903999999999</v>
      </c>
      <c r="H41" s="2">
        <v>0.56097841000000004</v>
      </c>
      <c r="I41" s="2">
        <v>0.41257110000000002</v>
      </c>
      <c r="J41" s="1">
        <v>5.9372285000000002E-14</v>
      </c>
      <c r="K41" s="2">
        <v>424.51974999999999</v>
      </c>
      <c r="L41" s="2">
        <v>-498.72037999999998</v>
      </c>
      <c r="M41" s="2">
        <v>-32457.746999999999</v>
      </c>
      <c r="N41" s="2">
        <v>75.439031999999997</v>
      </c>
      <c r="O41" s="2">
        <v>65.332105999999996</v>
      </c>
      <c r="P41" s="2">
        <v>0.20906274</v>
      </c>
      <c r="R41" s="2">
        <f t="shared" si="1"/>
        <v>-4.3014463668749996E-3</v>
      </c>
      <c r="S41" s="2">
        <f t="shared" si="0"/>
        <v>5.0532842503500002E-3</v>
      </c>
      <c r="T41" s="2">
        <f t="shared" si="0"/>
        <v>0.32887812147750001</v>
      </c>
      <c r="U41" s="2">
        <f t="shared" si="2"/>
        <v>1.154700755532301</v>
      </c>
    </row>
    <row r="42" spans="2:21" x14ac:dyDescent="0.3">
      <c r="B42" s="2">
        <v>16500</v>
      </c>
      <c r="C42" s="1">
        <v>5.6512606999999999E-16</v>
      </c>
      <c r="D42" s="1">
        <v>-6.5255150000000005E-16</v>
      </c>
      <c r="E42" s="2">
        <v>3.3E-3</v>
      </c>
      <c r="F42" s="2">
        <v>5.0496622999999996</v>
      </c>
      <c r="G42" s="2">
        <v>1.7727984999999999</v>
      </c>
      <c r="H42" s="2">
        <v>0.57497445000000003</v>
      </c>
      <c r="I42" s="2">
        <v>0.41499506000000003</v>
      </c>
      <c r="J42" s="1">
        <v>5.9847459999999995E-14</v>
      </c>
      <c r="K42" s="2">
        <v>-929.23014999999998</v>
      </c>
      <c r="L42" s="2">
        <v>873.13397999999995</v>
      </c>
      <c r="M42" s="2">
        <v>-33421.669000000002</v>
      </c>
      <c r="N42" s="2">
        <v>75.439031999999997</v>
      </c>
      <c r="O42" s="2">
        <v>65.332105999999996</v>
      </c>
      <c r="P42" s="2">
        <v>0.21559595000000001</v>
      </c>
      <c r="R42" s="2">
        <f t="shared" si="1"/>
        <v>9.415424494874999E-3</v>
      </c>
      <c r="S42" s="2">
        <f t="shared" si="0"/>
        <v>-8.8470300523499999E-3</v>
      </c>
      <c r="T42" s="2">
        <f t="shared" si="0"/>
        <v>0.33864506114250004</v>
      </c>
      <c r="U42" s="2">
        <f t="shared" si="2"/>
        <v>1.154700755532301</v>
      </c>
    </row>
    <row r="43" spans="2:21" x14ac:dyDescent="0.3">
      <c r="B43" s="2">
        <v>17000</v>
      </c>
      <c r="C43" s="1">
        <v>5.6512606999999999E-16</v>
      </c>
      <c r="D43" s="1">
        <v>-6.5255150000000005E-16</v>
      </c>
      <c r="E43" s="2">
        <v>3.3999999999999998E-3</v>
      </c>
      <c r="F43" s="2">
        <v>4.9870162000000002</v>
      </c>
      <c r="G43" s="2">
        <v>1.756591</v>
      </c>
      <c r="H43" s="2">
        <v>0.57020179999999998</v>
      </c>
      <c r="I43" s="2">
        <v>0.41327206</v>
      </c>
      <c r="J43" s="1">
        <v>5.9737103999999997E-14</v>
      </c>
      <c r="K43" s="2">
        <v>912.22922000000005</v>
      </c>
      <c r="L43" s="2">
        <v>-980.45438999999999</v>
      </c>
      <c r="M43" s="2">
        <v>-34119.709000000003</v>
      </c>
      <c r="N43" s="2">
        <v>75.439031999999997</v>
      </c>
      <c r="O43" s="2">
        <v>65.332105999999996</v>
      </c>
      <c r="P43" s="2">
        <v>0.22212915999999999</v>
      </c>
      <c r="R43" s="2">
        <f t="shared" si="1"/>
        <v>-9.2431625716500009E-3</v>
      </c>
      <c r="S43" s="2">
        <f t="shared" si="0"/>
        <v>9.9344541066749992E-3</v>
      </c>
      <c r="T43" s="2">
        <f t="shared" si="0"/>
        <v>0.3457179514425</v>
      </c>
      <c r="U43" s="2">
        <f t="shared" si="2"/>
        <v>1.154700755532301</v>
      </c>
    </row>
    <row r="44" spans="2:21" x14ac:dyDescent="0.3">
      <c r="B44" s="2">
        <v>17500</v>
      </c>
      <c r="C44" s="1">
        <v>5.6512606999999999E-16</v>
      </c>
      <c r="D44" s="1">
        <v>-6.5255150000000005E-16</v>
      </c>
      <c r="E44" s="2">
        <v>3.5000000000000001E-3</v>
      </c>
      <c r="F44" s="2">
        <v>4.9265625999999996</v>
      </c>
      <c r="G44" s="2">
        <v>1.7440652999999999</v>
      </c>
      <c r="H44" s="2">
        <v>0.56306060999999996</v>
      </c>
      <c r="I44" s="2">
        <v>0.41725934999999997</v>
      </c>
      <c r="J44" s="1">
        <v>5.8677284999999999E-14</v>
      </c>
      <c r="K44" s="2">
        <v>-1128.9543000000001</v>
      </c>
      <c r="L44" s="2">
        <v>1021.417</v>
      </c>
      <c r="M44" s="2">
        <v>-35970.758000000002</v>
      </c>
      <c r="N44" s="2">
        <v>75.439031999999997</v>
      </c>
      <c r="O44" s="2">
        <v>65.332105999999996</v>
      </c>
      <c r="P44" s="2">
        <v>0.22866237</v>
      </c>
      <c r="R44" s="2">
        <f t="shared" si="1"/>
        <v>1.1439129444750002E-2</v>
      </c>
      <c r="S44" s="2">
        <f t="shared" si="0"/>
        <v>-1.0349507752500001E-2</v>
      </c>
      <c r="T44" s="2">
        <f t="shared" si="0"/>
        <v>0.36447370543500002</v>
      </c>
      <c r="U44" s="2">
        <f t="shared" si="2"/>
        <v>1.154700755532301</v>
      </c>
    </row>
    <row r="45" spans="2:21" x14ac:dyDescent="0.3">
      <c r="B45" s="2">
        <v>18000</v>
      </c>
      <c r="C45" s="1">
        <v>5.6512606999999999E-16</v>
      </c>
      <c r="D45" s="1">
        <v>-6.5255150000000005E-16</v>
      </c>
      <c r="E45" s="2">
        <v>3.5999999999999999E-3</v>
      </c>
      <c r="F45" s="2">
        <v>5.0408537000000004</v>
      </c>
      <c r="G45" s="2">
        <v>1.7635346999999999</v>
      </c>
      <c r="H45" s="2">
        <v>0.54342106999999995</v>
      </c>
      <c r="I45" s="2">
        <v>0.43865020999999998</v>
      </c>
      <c r="J45" s="1">
        <v>6.1421535E-14</v>
      </c>
      <c r="K45" s="2">
        <v>626.46835999999996</v>
      </c>
      <c r="L45" s="2">
        <v>-781.85990000000004</v>
      </c>
      <c r="M45" s="2">
        <v>-35729.154999999999</v>
      </c>
      <c r="N45" s="2">
        <v>75.439031999999997</v>
      </c>
      <c r="O45" s="2">
        <v>65.332105999999996</v>
      </c>
      <c r="P45" s="2">
        <v>0.23519557999999999</v>
      </c>
      <c r="R45" s="2">
        <f t="shared" si="1"/>
        <v>-6.3476906576999999E-3</v>
      </c>
      <c r="S45" s="2">
        <f t="shared" si="0"/>
        <v>7.9221954367500007E-3</v>
      </c>
      <c r="T45" s="2">
        <f t="shared" si="0"/>
        <v>0.3620256630375</v>
      </c>
      <c r="U45" s="2">
        <f t="shared" si="2"/>
        <v>1.154700755532301</v>
      </c>
    </row>
    <row r="46" spans="2:21" x14ac:dyDescent="0.3">
      <c r="B46" s="2">
        <v>18500</v>
      </c>
      <c r="C46" s="1">
        <v>5.6512606999999999E-16</v>
      </c>
      <c r="D46" s="1">
        <v>-6.5255150000000005E-16</v>
      </c>
      <c r="E46" s="2">
        <v>3.7000000000000002E-3</v>
      </c>
      <c r="F46" s="2">
        <v>5.0812036999999997</v>
      </c>
      <c r="G46" s="2">
        <v>1.8134296999999999</v>
      </c>
      <c r="H46" s="2">
        <v>0.58941277999999997</v>
      </c>
      <c r="I46" s="2">
        <v>0.43629818999999997</v>
      </c>
      <c r="J46" s="1">
        <v>6.0278004999999996E-14</v>
      </c>
      <c r="K46" s="2">
        <v>-562.60617000000002</v>
      </c>
      <c r="L46" s="2">
        <v>499.06169999999997</v>
      </c>
      <c r="M46" s="2">
        <v>-38325.245999999999</v>
      </c>
      <c r="N46" s="2">
        <v>75.439031999999997</v>
      </c>
      <c r="O46" s="2">
        <v>65.332105999999996</v>
      </c>
      <c r="P46" s="2">
        <v>0.24172879</v>
      </c>
      <c r="R46" s="2">
        <f t="shared" si="1"/>
        <v>5.7006070175250004E-3</v>
      </c>
      <c r="S46" s="2">
        <f t="shared" si="0"/>
        <v>-5.0567426752499995E-3</v>
      </c>
      <c r="T46" s="2">
        <f t="shared" si="0"/>
        <v>0.38833055509499997</v>
      </c>
      <c r="U46" s="2">
        <f t="shared" si="2"/>
        <v>1.154700755532301</v>
      </c>
    </row>
    <row r="47" spans="2:21" x14ac:dyDescent="0.3">
      <c r="B47" s="2">
        <v>19000</v>
      </c>
      <c r="C47" s="1">
        <v>5.6512606999999999E-16</v>
      </c>
      <c r="D47" s="1">
        <v>-6.5255150000000005E-16</v>
      </c>
      <c r="E47" s="2">
        <v>3.8E-3</v>
      </c>
      <c r="F47" s="2">
        <v>5.3920364999999997</v>
      </c>
      <c r="G47" s="2">
        <v>1.8282935</v>
      </c>
      <c r="H47" s="2">
        <v>0.53645390000000004</v>
      </c>
      <c r="I47" s="2">
        <v>0.45593372999999998</v>
      </c>
      <c r="J47" s="1">
        <v>5.9126481000000005E-14</v>
      </c>
      <c r="K47" s="2">
        <v>-63.282535000000003</v>
      </c>
      <c r="L47" s="2">
        <v>-94.411942999999994</v>
      </c>
      <c r="M47" s="2">
        <v>-37565.510999999999</v>
      </c>
      <c r="N47" s="2">
        <v>75.439031999999997</v>
      </c>
      <c r="O47" s="2">
        <v>65.332105999999996</v>
      </c>
      <c r="P47" s="2">
        <v>0.24826200000000001</v>
      </c>
      <c r="R47" s="2">
        <f t="shared" si="1"/>
        <v>6.412102858875E-4</v>
      </c>
      <c r="S47" s="2">
        <f t="shared" si="0"/>
        <v>9.5662901244749992E-4</v>
      </c>
      <c r="T47" s="2">
        <f t="shared" si="0"/>
        <v>0.38063254020749998</v>
      </c>
      <c r="U47" s="2">
        <f t="shared" si="2"/>
        <v>1.154700755532301</v>
      </c>
    </row>
    <row r="48" spans="2:21" x14ac:dyDescent="0.3">
      <c r="B48" s="2">
        <v>19500</v>
      </c>
      <c r="C48" s="1">
        <v>5.6512606999999999E-16</v>
      </c>
      <c r="D48" s="1">
        <v>-6.5255150000000005E-16</v>
      </c>
      <c r="E48" s="2">
        <v>3.8999999999999998E-3</v>
      </c>
      <c r="F48" s="2">
        <v>4.9784781999999996</v>
      </c>
      <c r="G48" s="2">
        <v>1.7818845000000001</v>
      </c>
      <c r="H48" s="2">
        <v>0.56910150000000004</v>
      </c>
      <c r="I48" s="2">
        <v>0.44098946999999999</v>
      </c>
      <c r="J48" s="1">
        <v>5.9391825000000006E-14</v>
      </c>
      <c r="K48" s="2">
        <v>-148.90405000000001</v>
      </c>
      <c r="L48" s="2">
        <v>24.211134000000001</v>
      </c>
      <c r="M48" s="2">
        <v>-40174.076999999997</v>
      </c>
      <c r="N48" s="2">
        <v>75.439031999999997</v>
      </c>
      <c r="O48" s="2">
        <v>65.332105999999996</v>
      </c>
      <c r="P48" s="2">
        <v>0.25479521999999999</v>
      </c>
      <c r="R48" s="2">
        <f t="shared" si="1"/>
        <v>1.5087702866250002E-3</v>
      </c>
      <c r="S48" s="2">
        <f t="shared" si="0"/>
        <v>-2.4531931525500003E-4</v>
      </c>
      <c r="T48" s="2">
        <f t="shared" si="0"/>
        <v>0.40706383520249995</v>
      </c>
      <c r="U48" s="2">
        <f t="shared" si="2"/>
        <v>1.154700755532301</v>
      </c>
    </row>
    <row r="49" spans="2:21" x14ac:dyDescent="0.3">
      <c r="B49" s="2">
        <v>20000</v>
      </c>
      <c r="C49" s="1">
        <v>5.6512606999999999E-16</v>
      </c>
      <c r="D49" s="1">
        <v>-6.5255150000000005E-16</v>
      </c>
      <c r="E49" s="2">
        <v>4.0000000000000001E-3</v>
      </c>
      <c r="F49" s="2">
        <v>5.1406872000000003</v>
      </c>
      <c r="G49" s="2">
        <v>1.7870055</v>
      </c>
      <c r="H49" s="2">
        <v>0.53200687999999996</v>
      </c>
      <c r="I49" s="2">
        <v>0.45805844000000001</v>
      </c>
      <c r="J49" s="1">
        <v>6.1235904999999998E-14</v>
      </c>
      <c r="K49" s="2">
        <v>-455.11824000000001</v>
      </c>
      <c r="L49" s="2">
        <v>249.26150999999999</v>
      </c>
      <c r="M49" s="2">
        <v>-40155.144999999997</v>
      </c>
      <c r="N49" s="2">
        <v>75.439031999999997</v>
      </c>
      <c r="O49" s="2">
        <v>65.332105999999996</v>
      </c>
      <c r="P49" s="2">
        <v>0.26132843</v>
      </c>
      <c r="R49" s="2">
        <f t="shared" si="1"/>
        <v>4.6114855668000004E-3</v>
      </c>
      <c r="S49" s="2">
        <f t="shared" si="0"/>
        <v>-2.525642250075E-3</v>
      </c>
      <c r="T49" s="2">
        <f t="shared" si="0"/>
        <v>0.40687200671249996</v>
      </c>
      <c r="U49" s="2">
        <f t="shared" si="2"/>
        <v>1.154700755532301</v>
      </c>
    </row>
    <row r="50" spans="2:21" x14ac:dyDescent="0.3">
      <c r="B50" s="2">
        <v>20500</v>
      </c>
      <c r="C50" s="1">
        <v>5.6512606999999999E-16</v>
      </c>
      <c r="D50" s="1">
        <v>-6.5255150000000005E-16</v>
      </c>
      <c r="E50" s="2">
        <v>4.1000000000000003E-3</v>
      </c>
      <c r="F50" s="2">
        <v>4.9247287999999996</v>
      </c>
      <c r="G50" s="2">
        <v>1.7893276</v>
      </c>
      <c r="H50" s="2">
        <v>0.56389162000000004</v>
      </c>
      <c r="I50" s="2">
        <v>0.46197495</v>
      </c>
      <c r="J50" s="1">
        <v>5.7365002000000003E-14</v>
      </c>
      <c r="K50" s="2">
        <v>43.99297</v>
      </c>
      <c r="L50" s="2">
        <v>-220.47299000000001</v>
      </c>
      <c r="M50" s="2">
        <v>-41280.720999999998</v>
      </c>
      <c r="N50" s="2">
        <v>75.439031999999997</v>
      </c>
      <c r="O50" s="2">
        <v>65.332105999999996</v>
      </c>
      <c r="P50" s="2">
        <v>0.26786164000000001</v>
      </c>
      <c r="R50" s="2">
        <f t="shared" si="1"/>
        <v>-4.4575876852499997E-4</v>
      </c>
      <c r="S50" s="2">
        <f t="shared" si="0"/>
        <v>2.2339425711750001E-3</v>
      </c>
      <c r="T50" s="2">
        <f t="shared" si="0"/>
        <v>0.41827690553249997</v>
      </c>
      <c r="U50" s="2">
        <f t="shared" si="2"/>
        <v>1.154700755532301</v>
      </c>
    </row>
    <row r="51" spans="2:21" x14ac:dyDescent="0.3">
      <c r="B51" s="2">
        <v>21000</v>
      </c>
      <c r="C51" s="1">
        <v>5.6512606999999999E-16</v>
      </c>
      <c r="D51" s="1">
        <v>-6.5255150000000005E-16</v>
      </c>
      <c r="E51" s="2">
        <v>4.1999999999999997E-3</v>
      </c>
      <c r="F51" s="2">
        <v>4.9892985000000003</v>
      </c>
      <c r="G51" s="2">
        <v>1.8401966999999999</v>
      </c>
      <c r="H51" s="2">
        <v>0.58630948999999999</v>
      </c>
      <c r="I51" s="2">
        <v>0.48041621000000001</v>
      </c>
      <c r="J51" s="1">
        <v>5.9006354999999999E-14</v>
      </c>
      <c r="K51" s="2">
        <v>-477.78395999999998</v>
      </c>
      <c r="L51" s="2">
        <v>328.58458999999999</v>
      </c>
      <c r="M51" s="2">
        <v>-43251.819000000003</v>
      </c>
      <c r="N51" s="2">
        <v>75.439031999999997</v>
      </c>
      <c r="O51" s="2">
        <v>65.332105999999996</v>
      </c>
      <c r="P51" s="2">
        <v>0.27439485000000002</v>
      </c>
      <c r="R51" s="2">
        <f t="shared" si="1"/>
        <v>4.8411459746999994E-3</v>
      </c>
      <c r="S51" s="2">
        <f t="shared" si="0"/>
        <v>-3.3293833581750001E-3</v>
      </c>
      <c r="T51" s="2">
        <f t="shared" si="0"/>
        <v>0.43824905601750003</v>
      </c>
      <c r="U51" s="2">
        <f t="shared" si="2"/>
        <v>1.154700755532301</v>
      </c>
    </row>
    <row r="52" spans="2:21" x14ac:dyDescent="0.3">
      <c r="B52" s="2">
        <v>21500</v>
      </c>
      <c r="C52" s="1">
        <v>5.6512606999999999E-16</v>
      </c>
      <c r="D52" s="1">
        <v>-6.5255150000000005E-16</v>
      </c>
      <c r="E52" s="2">
        <v>4.3E-3</v>
      </c>
      <c r="F52" s="2">
        <v>4.9525714000000001</v>
      </c>
      <c r="G52" s="2">
        <v>1.8826305999999999</v>
      </c>
      <c r="H52" s="2">
        <v>0.61223315</v>
      </c>
      <c r="I52" s="2">
        <v>0.50262006000000004</v>
      </c>
      <c r="J52" s="1">
        <v>5.9499072000000002E-14</v>
      </c>
      <c r="K52" s="2">
        <v>71.422269</v>
      </c>
      <c r="L52" s="2">
        <v>-199.06112999999999</v>
      </c>
      <c r="M52" s="2">
        <v>-42460.082999999999</v>
      </c>
      <c r="N52" s="2">
        <v>75.439031999999997</v>
      </c>
      <c r="O52" s="2">
        <v>65.332105999999996</v>
      </c>
      <c r="P52" s="2">
        <v>0.28092805999999998</v>
      </c>
      <c r="R52" s="2">
        <f t="shared" si="1"/>
        <v>-7.236861406425E-4</v>
      </c>
      <c r="S52" s="2">
        <f t="shared" si="0"/>
        <v>2.0169868997249999E-3</v>
      </c>
      <c r="T52" s="2">
        <f t="shared" si="0"/>
        <v>0.4302267909975</v>
      </c>
      <c r="U52" s="2">
        <f t="shared" si="2"/>
        <v>1.154700755532301</v>
      </c>
    </row>
    <row r="53" spans="2:21" x14ac:dyDescent="0.3">
      <c r="B53" s="2">
        <v>22000</v>
      </c>
      <c r="C53" s="1">
        <v>5.6512606999999999E-16</v>
      </c>
      <c r="D53" s="1">
        <v>-6.5255150000000005E-16</v>
      </c>
      <c r="E53" s="2">
        <v>4.4000000000000003E-3</v>
      </c>
      <c r="F53" s="2">
        <v>5.1167560999999999</v>
      </c>
      <c r="G53" s="2">
        <v>1.9174405999999999</v>
      </c>
      <c r="H53" s="2">
        <v>0.63416665000000005</v>
      </c>
      <c r="I53" s="2">
        <v>0.49004375999999999</v>
      </c>
      <c r="J53" s="1">
        <v>5.7820637000000005E-14</v>
      </c>
      <c r="K53" s="2">
        <v>-549.48387000000002</v>
      </c>
      <c r="L53" s="2">
        <v>484.40577000000002</v>
      </c>
      <c r="M53" s="2">
        <v>-45638.197</v>
      </c>
      <c r="N53" s="2">
        <v>75.439031999999997</v>
      </c>
      <c r="O53" s="2">
        <v>65.332105999999996</v>
      </c>
      <c r="P53" s="2">
        <v>0.28746126999999999</v>
      </c>
      <c r="R53" s="2">
        <f t="shared" si="1"/>
        <v>5.5676453127749999E-3</v>
      </c>
      <c r="S53" s="2">
        <f t="shared" si="0"/>
        <v>-4.9082414645249999E-3</v>
      </c>
      <c r="T53" s="2">
        <f t="shared" si="0"/>
        <v>0.4624290311025</v>
      </c>
      <c r="U53" s="2">
        <f t="shared" si="2"/>
        <v>1.154700755532301</v>
      </c>
    </row>
    <row r="54" spans="2:21" x14ac:dyDescent="0.3">
      <c r="B54" s="2">
        <v>22500</v>
      </c>
      <c r="C54" s="1">
        <v>5.6512606999999999E-16</v>
      </c>
      <c r="D54" s="1">
        <v>-6.5255150000000005E-16</v>
      </c>
      <c r="E54" s="2">
        <v>4.4999999999999997E-3</v>
      </c>
      <c r="F54" s="2">
        <v>5.0028275000000004</v>
      </c>
      <c r="G54" s="2">
        <v>1.85294</v>
      </c>
      <c r="H54" s="2">
        <v>0.56984290999999998</v>
      </c>
      <c r="I54" s="2">
        <v>0.50752878999999995</v>
      </c>
      <c r="J54" s="1">
        <v>6.0898619E-14</v>
      </c>
      <c r="K54" s="2">
        <v>334.25522000000001</v>
      </c>
      <c r="L54" s="2">
        <v>-555.26337000000001</v>
      </c>
      <c r="M54" s="2">
        <v>-44557.334999999999</v>
      </c>
      <c r="N54" s="2">
        <v>75.439031999999997</v>
      </c>
      <c r="O54" s="2">
        <v>65.332105999999996</v>
      </c>
      <c r="P54" s="2">
        <v>0.29399448</v>
      </c>
      <c r="R54" s="2">
        <f t="shared" si="1"/>
        <v>-3.3868410166500002E-3</v>
      </c>
      <c r="S54" s="2">
        <f t="shared" si="0"/>
        <v>5.6262060965249997E-3</v>
      </c>
      <c r="T54" s="2">
        <f t="shared" si="0"/>
        <v>0.45147719688749999</v>
      </c>
      <c r="U54" s="2">
        <f t="shared" si="2"/>
        <v>1.154700755532301</v>
      </c>
    </row>
    <row r="55" spans="2:21" x14ac:dyDescent="0.3">
      <c r="B55" s="2">
        <v>23000</v>
      </c>
      <c r="C55" s="1">
        <v>5.6512606999999999E-16</v>
      </c>
      <c r="D55" s="1">
        <v>-6.5255150000000005E-16</v>
      </c>
      <c r="E55" s="2">
        <v>4.5999999999999999E-3</v>
      </c>
      <c r="F55" s="2">
        <v>4.9076174000000004</v>
      </c>
      <c r="G55" s="2">
        <v>1.8675108</v>
      </c>
      <c r="H55" s="2">
        <v>0.60810275000000003</v>
      </c>
      <c r="I55" s="2">
        <v>0.49859975000000001</v>
      </c>
      <c r="J55" s="1">
        <v>6.1268990000000006E-14</v>
      </c>
      <c r="K55" s="2">
        <v>-941.49145999999996</v>
      </c>
      <c r="L55" s="2">
        <v>785.30241999999998</v>
      </c>
      <c r="M55" s="2">
        <v>-47298.067000000003</v>
      </c>
      <c r="N55" s="2">
        <v>75.439031999999997</v>
      </c>
      <c r="O55" s="2">
        <v>65.332105999999996</v>
      </c>
      <c r="P55" s="2">
        <v>0.30052769000000001</v>
      </c>
      <c r="R55" s="2">
        <f t="shared" si="1"/>
        <v>9.5396622184500002E-3</v>
      </c>
      <c r="S55" s="2">
        <f t="shared" si="0"/>
        <v>-7.9570767706499991E-3</v>
      </c>
      <c r="T55" s="2">
        <f t="shared" si="0"/>
        <v>0.47924766387750001</v>
      </c>
      <c r="U55" s="2">
        <f t="shared" si="2"/>
        <v>1.154700755532301</v>
      </c>
    </row>
    <row r="56" spans="2:21" x14ac:dyDescent="0.3">
      <c r="B56" s="2">
        <v>23500</v>
      </c>
      <c r="C56" s="1">
        <v>5.6512606999999999E-16</v>
      </c>
      <c r="D56" s="1">
        <v>-6.5255150000000005E-16</v>
      </c>
      <c r="E56" s="2">
        <v>4.7000000000000002E-3</v>
      </c>
      <c r="F56" s="2">
        <v>5.2044777</v>
      </c>
      <c r="G56" s="2">
        <v>1.9585452999999999</v>
      </c>
      <c r="H56" s="2">
        <v>0.60864065000000001</v>
      </c>
      <c r="I56" s="2">
        <v>0.54307525000000001</v>
      </c>
      <c r="J56" s="1">
        <v>6.0106141999999996E-14</v>
      </c>
      <c r="K56" s="2">
        <v>709.67666999999994</v>
      </c>
      <c r="L56" s="2">
        <v>-885.25054</v>
      </c>
      <c r="M56" s="2">
        <v>-47214.802000000003</v>
      </c>
      <c r="N56" s="2">
        <v>75.439031999999997</v>
      </c>
      <c r="O56" s="2">
        <v>65.332105999999996</v>
      </c>
      <c r="P56" s="2">
        <v>0.30706090000000003</v>
      </c>
      <c r="R56" s="2">
        <f t="shared" si="1"/>
        <v>-7.190798858774999E-3</v>
      </c>
      <c r="S56" s="2">
        <f t="shared" si="0"/>
        <v>8.9698010965500001E-3</v>
      </c>
      <c r="T56" s="2">
        <f t="shared" si="0"/>
        <v>0.47840398126500006</v>
      </c>
      <c r="U56" s="2">
        <f t="shared" si="2"/>
        <v>1.154700755532301</v>
      </c>
    </row>
    <row r="57" spans="2:21" x14ac:dyDescent="0.3">
      <c r="B57" s="2">
        <v>24000</v>
      </c>
      <c r="C57" s="1">
        <v>5.6512606999999999E-16</v>
      </c>
      <c r="D57" s="1">
        <v>-6.5255150000000005E-16</v>
      </c>
      <c r="E57" s="2">
        <v>4.7999999999999996E-3</v>
      </c>
      <c r="F57" s="2">
        <v>5.1177400999999998</v>
      </c>
      <c r="G57" s="2">
        <v>1.9621379000000001</v>
      </c>
      <c r="H57" s="2">
        <v>0.60865237999999999</v>
      </c>
      <c r="I57" s="2">
        <v>0.56010276999999997</v>
      </c>
      <c r="J57" s="1">
        <v>5.6729065999999999E-14</v>
      </c>
      <c r="K57" s="2">
        <v>-1146.5798</v>
      </c>
      <c r="L57" s="2">
        <v>938.51858000000004</v>
      </c>
      <c r="M57" s="2">
        <v>-48584.955000000002</v>
      </c>
      <c r="N57" s="2">
        <v>75.439031999999997</v>
      </c>
      <c r="O57" s="2">
        <v>65.332105999999996</v>
      </c>
      <c r="P57" s="2">
        <v>0.31359410999999998</v>
      </c>
      <c r="R57" s="2">
        <f t="shared" si="1"/>
        <v>1.1617719823499999E-2</v>
      </c>
      <c r="S57" s="2">
        <f t="shared" si="0"/>
        <v>-9.5095395118500008E-3</v>
      </c>
      <c r="T57" s="2">
        <f t="shared" si="0"/>
        <v>0.49228705653749999</v>
      </c>
      <c r="U57" s="2">
        <f t="shared" si="2"/>
        <v>1.154700755532301</v>
      </c>
    </row>
    <row r="58" spans="2:21" x14ac:dyDescent="0.3">
      <c r="B58" s="2">
        <v>24500</v>
      </c>
      <c r="C58" s="1">
        <v>5.6512606999999999E-16</v>
      </c>
      <c r="D58" s="1">
        <v>-6.5255150000000005E-16</v>
      </c>
      <c r="E58" s="2">
        <v>4.8999999999999998E-3</v>
      </c>
      <c r="F58" s="2">
        <v>4.9602351000000002</v>
      </c>
      <c r="G58" s="2">
        <v>1.9170062999999999</v>
      </c>
      <c r="H58" s="2">
        <v>0.60737874000000003</v>
      </c>
      <c r="I58" s="2">
        <v>0.54066212000000002</v>
      </c>
      <c r="J58" s="1">
        <v>5.7609028999999998E-14</v>
      </c>
      <c r="K58" s="2">
        <v>315.64118999999999</v>
      </c>
      <c r="L58" s="2">
        <v>-523.31674999999996</v>
      </c>
      <c r="M58" s="2">
        <v>-49721.114999999998</v>
      </c>
      <c r="N58" s="2">
        <v>75.439031999999997</v>
      </c>
      <c r="O58" s="2">
        <v>65.332105999999996</v>
      </c>
      <c r="P58" s="2">
        <v>0.32012731999999999</v>
      </c>
      <c r="R58" s="2">
        <f t="shared" si="1"/>
        <v>-3.1982343576749997E-3</v>
      </c>
      <c r="S58" s="2">
        <f t="shared" si="0"/>
        <v>5.3025069693749998E-3</v>
      </c>
      <c r="T58" s="2">
        <f t="shared" si="0"/>
        <v>0.50379919773749993</v>
      </c>
      <c r="U58" s="2">
        <f t="shared" si="2"/>
        <v>1.154700755532301</v>
      </c>
    </row>
    <row r="59" spans="2:21" x14ac:dyDescent="0.3">
      <c r="B59" s="2">
        <v>25000</v>
      </c>
      <c r="C59" s="1">
        <v>5.6512606999999999E-16</v>
      </c>
      <c r="D59" s="1">
        <v>-6.5255150000000005E-16</v>
      </c>
      <c r="E59" s="2">
        <v>5.0000000000000001E-3</v>
      </c>
      <c r="F59" s="2">
        <v>4.8622636000000004</v>
      </c>
      <c r="G59" s="2">
        <v>1.9582317</v>
      </c>
      <c r="H59" s="2">
        <v>0.62117423999999999</v>
      </c>
      <c r="I59" s="2">
        <v>0.58328015</v>
      </c>
      <c r="J59" s="1">
        <v>6.0069504999999997E-14</v>
      </c>
      <c r="K59" s="2">
        <v>-529.62878000000001</v>
      </c>
      <c r="L59" s="2">
        <v>284.78483999999997</v>
      </c>
      <c r="M59" s="2">
        <v>-50447.127</v>
      </c>
      <c r="N59" s="2">
        <v>75.439031999999997</v>
      </c>
      <c r="O59" s="2">
        <v>65.332105999999996</v>
      </c>
      <c r="P59" s="2">
        <v>0.32666053</v>
      </c>
      <c r="R59" s="2">
        <f t="shared" si="1"/>
        <v>5.3664636133500003E-3</v>
      </c>
      <c r="S59" s="2">
        <f t="shared" si="0"/>
        <v>-2.8855823912999996E-3</v>
      </c>
      <c r="T59" s="2">
        <f t="shared" si="0"/>
        <v>0.51115551432749995</v>
      </c>
      <c r="U59" s="2">
        <f t="shared" si="2"/>
        <v>1.154700755532301</v>
      </c>
    </row>
    <row r="60" spans="2:21" x14ac:dyDescent="0.3">
      <c r="B60" s="2">
        <v>25500</v>
      </c>
      <c r="C60" s="1">
        <v>5.6512606999999999E-16</v>
      </c>
      <c r="D60" s="1">
        <v>-6.5255150000000005E-16</v>
      </c>
      <c r="E60" s="2">
        <v>5.1000000000000004E-3</v>
      </c>
      <c r="F60" s="2">
        <v>5.0658608000000003</v>
      </c>
      <c r="G60" s="2">
        <v>1.9861534999999999</v>
      </c>
      <c r="H60" s="2">
        <v>0.63155592000000005</v>
      </c>
      <c r="I60" s="2">
        <v>0.56925740000000002</v>
      </c>
      <c r="J60" s="1">
        <v>5.9736660000000001E-14</v>
      </c>
      <c r="K60" s="2">
        <v>-581.87928999999997</v>
      </c>
      <c r="L60" s="2">
        <v>388.54462999999998</v>
      </c>
      <c r="M60" s="2">
        <v>-51732.714</v>
      </c>
      <c r="N60" s="2">
        <v>75.439031999999997</v>
      </c>
      <c r="O60" s="2">
        <v>65.332105999999996</v>
      </c>
      <c r="P60" s="2">
        <v>0.33319374000000002</v>
      </c>
      <c r="R60" s="2">
        <f t="shared" si="1"/>
        <v>5.8958919059249994E-3</v>
      </c>
      <c r="S60" s="2">
        <f t="shared" si="0"/>
        <v>-3.9369284634749998E-3</v>
      </c>
      <c r="T60" s="2">
        <f t="shared" si="0"/>
        <v>0.52418172460500001</v>
      </c>
      <c r="U60" s="2">
        <f t="shared" si="2"/>
        <v>1.154700755532301</v>
      </c>
    </row>
    <row r="61" spans="2:21" x14ac:dyDescent="0.3">
      <c r="B61" s="2">
        <v>26000</v>
      </c>
      <c r="C61" s="1">
        <v>5.6512606999999999E-16</v>
      </c>
      <c r="D61" s="1">
        <v>-6.5255150000000005E-16</v>
      </c>
      <c r="E61" s="2">
        <v>5.1999999999999998E-3</v>
      </c>
      <c r="F61" s="2">
        <v>4.9865678000000004</v>
      </c>
      <c r="G61" s="2">
        <v>2.0013708000000001</v>
      </c>
      <c r="H61" s="2">
        <v>0.64626053000000006</v>
      </c>
      <c r="I61" s="2">
        <v>0.58206256000000001</v>
      </c>
      <c r="J61" s="1">
        <v>5.8498094999999999E-14</v>
      </c>
      <c r="K61" s="2">
        <v>410.95558999999997</v>
      </c>
      <c r="L61" s="2">
        <v>-607.01637000000005</v>
      </c>
      <c r="M61" s="2">
        <v>-52508.750999999997</v>
      </c>
      <c r="N61" s="2">
        <v>75.439031999999997</v>
      </c>
      <c r="O61" s="2">
        <v>65.332105999999996</v>
      </c>
      <c r="P61" s="2">
        <v>0.33972695000000003</v>
      </c>
      <c r="R61" s="2">
        <f t="shared" si="1"/>
        <v>-4.164007515675E-3</v>
      </c>
      <c r="S61" s="2">
        <f t="shared" si="0"/>
        <v>6.1505933690250009E-3</v>
      </c>
      <c r="T61" s="2">
        <f t="shared" si="0"/>
        <v>0.53204491950749999</v>
      </c>
      <c r="U61" s="2">
        <f t="shared" si="2"/>
        <v>1.154700755532301</v>
      </c>
    </row>
    <row r="62" spans="2:21" x14ac:dyDescent="0.3">
      <c r="B62" s="2">
        <v>26500</v>
      </c>
      <c r="C62" s="1">
        <v>5.6512606999999999E-16</v>
      </c>
      <c r="D62" s="1">
        <v>-6.5255150000000005E-16</v>
      </c>
      <c r="E62" s="2">
        <v>5.3E-3</v>
      </c>
      <c r="F62" s="2">
        <v>5.0789588999999999</v>
      </c>
      <c r="G62" s="2">
        <v>1.9690118999999999</v>
      </c>
      <c r="H62" s="2">
        <v>0.59602394999999997</v>
      </c>
      <c r="I62" s="2">
        <v>0.58561721</v>
      </c>
      <c r="J62" s="1">
        <v>6.0272898E-14</v>
      </c>
      <c r="K62" s="2">
        <v>-1359.806</v>
      </c>
      <c r="L62" s="2">
        <v>1063.6945000000001</v>
      </c>
      <c r="M62" s="2">
        <v>-53798.485000000001</v>
      </c>
      <c r="N62" s="2">
        <v>75.439031999999997</v>
      </c>
      <c r="O62" s="2">
        <v>65.332105999999996</v>
      </c>
      <c r="P62" s="2">
        <v>0.34626015999999998</v>
      </c>
      <c r="R62" s="2">
        <f t="shared" si="1"/>
        <v>1.3778234295E-2</v>
      </c>
      <c r="S62" s="2">
        <f t="shared" si="0"/>
        <v>-1.0777884521250001E-2</v>
      </c>
      <c r="T62" s="2">
        <f t="shared" si="0"/>
        <v>0.54511314926249999</v>
      </c>
      <c r="U62" s="2">
        <f t="shared" si="2"/>
        <v>1.154700755532301</v>
      </c>
    </row>
    <row r="63" spans="2:21" x14ac:dyDescent="0.3">
      <c r="B63" s="2">
        <v>27000</v>
      </c>
      <c r="C63" s="1">
        <v>5.6512606999999999E-16</v>
      </c>
      <c r="D63" s="1">
        <v>-6.5255150000000005E-16</v>
      </c>
      <c r="E63" s="2">
        <v>5.4000000000000003E-3</v>
      </c>
      <c r="F63" s="2">
        <v>4.9870276000000002</v>
      </c>
      <c r="G63" s="2">
        <v>1.9753521000000001</v>
      </c>
      <c r="H63" s="2">
        <v>0.60422363999999995</v>
      </c>
      <c r="I63" s="2">
        <v>0.59800951999999996</v>
      </c>
      <c r="J63" s="1">
        <v>5.9684924000000001E-14</v>
      </c>
      <c r="K63" s="2">
        <v>687.01088000000004</v>
      </c>
      <c r="L63" s="2">
        <v>-993.13436000000002</v>
      </c>
      <c r="M63" s="2">
        <v>-54294.226000000002</v>
      </c>
      <c r="N63" s="2">
        <v>75.439031999999997</v>
      </c>
      <c r="O63" s="2">
        <v>65.332105999999996</v>
      </c>
      <c r="P63" s="2">
        <v>0.35279337</v>
      </c>
      <c r="R63" s="2">
        <f t="shared" si="1"/>
        <v>-6.9611377416000002E-3</v>
      </c>
      <c r="S63" s="2">
        <f t="shared" si="0"/>
        <v>1.0062933902699999E-2</v>
      </c>
      <c r="T63" s="2">
        <f t="shared" si="0"/>
        <v>0.55013624494500002</v>
      </c>
      <c r="U63" s="2">
        <f t="shared" si="2"/>
        <v>1.154700755532301</v>
      </c>
    </row>
    <row r="64" spans="2:21" x14ac:dyDescent="0.3">
      <c r="B64" s="2">
        <v>27500</v>
      </c>
      <c r="C64" s="1">
        <v>5.6512606999999999E-16</v>
      </c>
      <c r="D64" s="1">
        <v>-6.5255150000000005E-16</v>
      </c>
      <c r="E64" s="2">
        <v>5.4999999999999997E-3</v>
      </c>
      <c r="F64" s="2">
        <v>4.8953063999999999</v>
      </c>
      <c r="G64" s="2">
        <v>2.0309881999999999</v>
      </c>
      <c r="H64" s="2">
        <v>0.65800331000000001</v>
      </c>
      <c r="I64" s="2">
        <v>0.61408507000000001</v>
      </c>
      <c r="J64" s="1">
        <v>5.9860783000000001E-14</v>
      </c>
      <c r="K64" s="2">
        <v>-1204.2668000000001</v>
      </c>
      <c r="L64" s="2">
        <v>974.53501000000006</v>
      </c>
      <c r="M64" s="2">
        <v>-56279.697999999997</v>
      </c>
      <c r="N64" s="2">
        <v>75.439031999999997</v>
      </c>
      <c r="O64" s="2">
        <v>65.332105999999996</v>
      </c>
      <c r="P64" s="2">
        <v>0.35932659</v>
      </c>
      <c r="R64" s="2">
        <f t="shared" si="1"/>
        <v>1.2202233351000001E-2</v>
      </c>
      <c r="S64" s="2">
        <f t="shared" si="0"/>
        <v>-9.8744759888249999E-3</v>
      </c>
      <c r="T64" s="2">
        <f t="shared" si="0"/>
        <v>0.57025403998500002</v>
      </c>
      <c r="U64" s="2">
        <f t="shared" si="2"/>
        <v>1.154700755532301</v>
      </c>
    </row>
    <row r="65" spans="2:21" x14ac:dyDescent="0.3">
      <c r="B65" s="2">
        <v>28000</v>
      </c>
      <c r="C65" s="1">
        <v>5.6512606999999999E-16</v>
      </c>
      <c r="D65" s="1">
        <v>-6.5255150000000005E-16</v>
      </c>
      <c r="E65" s="2">
        <v>5.5999999999999999E-3</v>
      </c>
      <c r="F65" s="2">
        <v>5.0756747000000004</v>
      </c>
      <c r="G65" s="2">
        <v>2.0599645999999998</v>
      </c>
      <c r="H65" s="2">
        <v>0.63453762999999996</v>
      </c>
      <c r="I65" s="2">
        <v>0.63856541</v>
      </c>
      <c r="J65" s="1">
        <v>5.9071636000000003E-14</v>
      </c>
      <c r="K65" s="2">
        <v>209.95070000000001</v>
      </c>
      <c r="L65" s="2">
        <v>-502.97163</v>
      </c>
      <c r="M65" s="2">
        <v>-55758.661</v>
      </c>
      <c r="N65" s="2">
        <v>75.439031999999997</v>
      </c>
      <c r="O65" s="2">
        <v>65.332105999999996</v>
      </c>
      <c r="P65" s="2">
        <v>0.36585980000000001</v>
      </c>
      <c r="R65" s="2">
        <f t="shared" si="1"/>
        <v>-2.12732546775E-3</v>
      </c>
      <c r="S65" s="2">
        <f t="shared" si="0"/>
        <v>5.0963600409749997E-3</v>
      </c>
      <c r="T65" s="2">
        <f t="shared" si="0"/>
        <v>0.56497463258250002</v>
      </c>
      <c r="U65" s="2">
        <f t="shared" si="2"/>
        <v>1.154700755532301</v>
      </c>
    </row>
    <row r="66" spans="2:21" x14ac:dyDescent="0.3">
      <c r="B66" s="2">
        <v>28500</v>
      </c>
      <c r="C66" s="1">
        <v>5.6512606999999999E-16</v>
      </c>
      <c r="D66" s="1">
        <v>-6.5255150000000005E-16</v>
      </c>
      <c r="E66" s="2">
        <v>5.7000000000000002E-3</v>
      </c>
      <c r="F66" s="2">
        <v>5.0095216999999996</v>
      </c>
      <c r="G66" s="2">
        <v>2.0681416000000001</v>
      </c>
      <c r="H66" s="2">
        <v>0.66228065999999997</v>
      </c>
      <c r="I66" s="2">
        <v>0.62925481000000005</v>
      </c>
      <c r="J66" s="1">
        <v>5.6340710000000001E-14</v>
      </c>
      <c r="K66" s="2">
        <v>-656.55926999999997</v>
      </c>
      <c r="L66" s="2">
        <v>407.71379999999999</v>
      </c>
      <c r="M66" s="2">
        <v>-58780.216</v>
      </c>
      <c r="N66" s="2">
        <v>75.439031999999997</v>
      </c>
      <c r="O66" s="2">
        <v>65.332105999999996</v>
      </c>
      <c r="P66" s="2">
        <v>0.37239301000000002</v>
      </c>
      <c r="R66" s="2">
        <f t="shared" si="1"/>
        <v>6.6525868032749997E-3</v>
      </c>
      <c r="S66" s="2">
        <f t="shared" si="0"/>
        <v>-4.1311600784999999E-3</v>
      </c>
      <c r="T66" s="2">
        <f t="shared" si="0"/>
        <v>0.59559053862</v>
      </c>
      <c r="U66" s="2">
        <f t="shared" si="2"/>
        <v>1.154700755532301</v>
      </c>
    </row>
    <row r="67" spans="2:21" x14ac:dyDescent="0.3">
      <c r="B67" s="2">
        <v>29000</v>
      </c>
      <c r="C67" s="1">
        <v>5.6512606999999999E-16</v>
      </c>
      <c r="D67" s="1">
        <v>-6.5255150000000005E-16</v>
      </c>
      <c r="E67" s="2">
        <v>5.7999999999999996E-3</v>
      </c>
      <c r="F67" s="2">
        <v>4.9465699000000001</v>
      </c>
      <c r="G67" s="2">
        <v>2.0557487999999999</v>
      </c>
      <c r="H67" s="2">
        <v>0.61109853000000003</v>
      </c>
      <c r="I67" s="2">
        <v>0.67780337000000002</v>
      </c>
      <c r="J67" s="1">
        <v>5.7868821000000001E-14</v>
      </c>
      <c r="K67" s="2">
        <v>-232.80072999999999</v>
      </c>
      <c r="L67" s="2">
        <v>-171.64275000000001</v>
      </c>
      <c r="M67" s="2">
        <v>-57686.93</v>
      </c>
      <c r="N67" s="2">
        <v>75.439031999999997</v>
      </c>
      <c r="O67" s="2">
        <v>65.332105999999996</v>
      </c>
      <c r="P67" s="2">
        <v>0.37892621999999998</v>
      </c>
      <c r="R67" s="2">
        <f t="shared" si="1"/>
        <v>2.3588533967249998E-3</v>
      </c>
      <c r="S67" s="2">
        <f t="shared" si="0"/>
        <v>1.7391701643750001E-3</v>
      </c>
      <c r="T67" s="2">
        <f t="shared" si="0"/>
        <v>0.58451281822500001</v>
      </c>
      <c r="U67" s="2">
        <f t="shared" si="2"/>
        <v>1.154700755532301</v>
      </c>
    </row>
    <row r="68" spans="2:21" x14ac:dyDescent="0.3">
      <c r="B68" s="2">
        <v>29500</v>
      </c>
      <c r="C68" s="1">
        <v>5.6512606999999999E-16</v>
      </c>
      <c r="D68" s="1">
        <v>-6.5255150000000005E-16</v>
      </c>
      <c r="E68" s="2">
        <v>5.8999999999999999E-3</v>
      </c>
      <c r="F68" s="2">
        <v>4.9736234000000001</v>
      </c>
      <c r="G68" s="2">
        <v>2.0785651000000001</v>
      </c>
      <c r="H68" s="2">
        <v>0.64538598999999996</v>
      </c>
      <c r="I68" s="2">
        <v>0.66213816999999997</v>
      </c>
      <c r="J68" s="1">
        <v>5.9512839000000003E-14</v>
      </c>
      <c r="K68" s="2">
        <v>-619.99995000000001</v>
      </c>
      <c r="L68" s="2">
        <v>284.89224999999999</v>
      </c>
      <c r="M68" s="2">
        <v>-60377.906000000003</v>
      </c>
      <c r="N68" s="2">
        <v>75.439031999999997</v>
      </c>
      <c r="O68" s="2">
        <v>65.332105999999996</v>
      </c>
      <c r="P68" s="2">
        <v>0.38545942999999999</v>
      </c>
      <c r="R68" s="2">
        <f t="shared" si="1"/>
        <v>6.2821494933750005E-3</v>
      </c>
      <c r="S68" s="2">
        <f t="shared" si="0"/>
        <v>-2.886670723125E-3</v>
      </c>
      <c r="T68" s="2">
        <f t="shared" si="0"/>
        <v>0.61177913254500005</v>
      </c>
      <c r="U68" s="2">
        <f t="shared" si="2"/>
        <v>1.154700755532301</v>
      </c>
    </row>
    <row r="69" spans="2:21" x14ac:dyDescent="0.3">
      <c r="B69" s="2">
        <v>30000</v>
      </c>
      <c r="C69" s="1">
        <v>5.6512606999999999E-16</v>
      </c>
      <c r="D69" s="1">
        <v>-6.5255150000000005E-16</v>
      </c>
      <c r="E69" s="2">
        <v>6.0000000000000001E-3</v>
      </c>
      <c r="F69" s="2">
        <v>5.0991952999999999</v>
      </c>
      <c r="G69" s="2">
        <v>2.1105988</v>
      </c>
      <c r="H69" s="2">
        <v>0.63053965999999995</v>
      </c>
      <c r="I69" s="2">
        <v>0.68955131999999997</v>
      </c>
      <c r="J69" s="1">
        <v>6.0970562000000004E-14</v>
      </c>
      <c r="K69" s="2">
        <v>-133.76956999999999</v>
      </c>
      <c r="L69" s="2">
        <v>-244.55068</v>
      </c>
      <c r="M69" s="2">
        <v>-60424.072</v>
      </c>
      <c r="N69" s="2">
        <v>75.439031999999997</v>
      </c>
      <c r="O69" s="2">
        <v>65.332105999999996</v>
      </c>
      <c r="P69" s="2">
        <v>0.39199264</v>
      </c>
      <c r="R69" s="2">
        <f t="shared" si="1"/>
        <v>1.3554201680249999E-3</v>
      </c>
      <c r="S69" s="2">
        <f t="shared" si="0"/>
        <v>2.4779097650999998E-3</v>
      </c>
      <c r="T69" s="2">
        <f t="shared" si="0"/>
        <v>0.61224690954000005</v>
      </c>
      <c r="U69" s="2">
        <f t="shared" si="2"/>
        <v>1.154700755532301</v>
      </c>
    </row>
    <row r="70" spans="2:21" x14ac:dyDescent="0.3">
      <c r="B70" s="2">
        <v>30500</v>
      </c>
      <c r="C70" s="1">
        <v>5.6512606999999999E-16</v>
      </c>
      <c r="D70" s="1">
        <v>-6.5255150000000005E-16</v>
      </c>
      <c r="E70" s="2">
        <v>6.1000000000000004E-3</v>
      </c>
      <c r="F70" s="2">
        <v>4.9123526000000002</v>
      </c>
      <c r="G70" s="2">
        <v>2.1552579999999999</v>
      </c>
      <c r="H70" s="2">
        <v>0.68601038000000003</v>
      </c>
      <c r="I70" s="2">
        <v>0.70770522999999996</v>
      </c>
      <c r="J70" s="1">
        <v>6.2551963999999996E-14</v>
      </c>
      <c r="K70" s="2">
        <v>-840.67715999999996</v>
      </c>
      <c r="L70" s="2">
        <v>523.22212999999999</v>
      </c>
      <c r="M70" s="2">
        <v>-61638.154999999999</v>
      </c>
      <c r="N70" s="2">
        <v>75.439031999999997</v>
      </c>
      <c r="O70" s="2">
        <v>65.332105999999996</v>
      </c>
      <c r="P70" s="2">
        <v>0.39852585000000001</v>
      </c>
      <c r="R70" s="2">
        <f t="shared" si="1"/>
        <v>8.5181613236999989E-3</v>
      </c>
      <c r="S70" s="2">
        <f t="shared" si="0"/>
        <v>-5.3015482322250002E-3</v>
      </c>
      <c r="T70" s="2">
        <f t="shared" si="0"/>
        <v>0.62454860553750002</v>
      </c>
      <c r="U70" s="2">
        <f t="shared" si="2"/>
        <v>1.154700755532301</v>
      </c>
    </row>
    <row r="71" spans="2:21" x14ac:dyDescent="0.3">
      <c r="B71" s="2">
        <v>31000</v>
      </c>
      <c r="C71" s="1">
        <v>5.6512606999999999E-16</v>
      </c>
      <c r="D71" s="1">
        <v>-6.5255150000000005E-16</v>
      </c>
      <c r="E71" s="2">
        <v>6.1999999999999998E-3</v>
      </c>
      <c r="F71" s="2">
        <v>5.0411371000000003</v>
      </c>
      <c r="G71" s="2">
        <v>2.2240992999999998</v>
      </c>
      <c r="H71" s="2">
        <v>0.71221186999999997</v>
      </c>
      <c r="I71" s="2">
        <v>0.73038009999999998</v>
      </c>
      <c r="J71" s="1">
        <v>5.9647398000000005E-14</v>
      </c>
      <c r="K71" s="2">
        <v>-114.42655000000001</v>
      </c>
      <c r="L71" s="2">
        <v>-169.78326000000001</v>
      </c>
      <c r="M71" s="2">
        <v>-63250.324000000001</v>
      </c>
      <c r="N71" s="2">
        <v>75.439031999999997</v>
      </c>
      <c r="O71" s="2">
        <v>65.332105999999996</v>
      </c>
      <c r="P71" s="2">
        <v>0.40505906000000003</v>
      </c>
      <c r="R71" s="2">
        <f t="shared" si="1"/>
        <v>1.1594270178750001E-3</v>
      </c>
      <c r="S71" s="2">
        <f t="shared" si="0"/>
        <v>1.7203288819500001E-3</v>
      </c>
      <c r="T71" s="2">
        <f t="shared" si="0"/>
        <v>0.64088390793000005</v>
      </c>
      <c r="U71" s="2">
        <f t="shared" si="2"/>
        <v>1.154700755532301</v>
      </c>
    </row>
    <row r="72" spans="2:21" x14ac:dyDescent="0.3">
      <c r="B72" s="2">
        <v>31500</v>
      </c>
      <c r="C72" s="1">
        <v>5.6512606999999999E-16</v>
      </c>
      <c r="D72" s="1">
        <v>-6.5255150000000005E-16</v>
      </c>
      <c r="E72" s="2">
        <v>6.3E-3</v>
      </c>
      <c r="F72" s="2">
        <v>4.8087777999999997</v>
      </c>
      <c r="G72" s="2">
        <v>2.1849273999999999</v>
      </c>
      <c r="H72" s="2">
        <v>0.69709465000000004</v>
      </c>
      <c r="I72" s="2">
        <v>0.74234714999999996</v>
      </c>
      <c r="J72" s="1">
        <v>5.9201754999999996E-14</v>
      </c>
      <c r="K72" s="2">
        <v>-528.00707</v>
      </c>
      <c r="L72" s="2">
        <v>171.81252000000001</v>
      </c>
      <c r="M72" s="2">
        <v>-63144.165999999997</v>
      </c>
      <c r="N72" s="2">
        <v>75.439031999999997</v>
      </c>
      <c r="O72" s="2">
        <v>65.332105999999996</v>
      </c>
      <c r="P72" s="2">
        <v>0.41159226999999998</v>
      </c>
      <c r="R72" s="2">
        <f t="shared" si="1"/>
        <v>5.3500316367749998E-3</v>
      </c>
      <c r="S72" s="2">
        <f t="shared" si="0"/>
        <v>-1.7408903589000001E-3</v>
      </c>
      <c r="T72" s="2">
        <f t="shared" si="0"/>
        <v>0.63980826199499996</v>
      </c>
      <c r="U72" s="2">
        <f t="shared" si="2"/>
        <v>1.154700755532301</v>
      </c>
    </row>
    <row r="73" spans="2:21" x14ac:dyDescent="0.3">
      <c r="B73" s="2">
        <v>32000</v>
      </c>
      <c r="C73" s="1">
        <v>5.6512606999999999E-16</v>
      </c>
      <c r="D73" s="1">
        <v>-6.5255150000000005E-16</v>
      </c>
      <c r="E73" s="2">
        <v>6.4000000000000003E-3</v>
      </c>
      <c r="F73" s="2">
        <v>5.0458885000000002</v>
      </c>
      <c r="G73" s="2">
        <v>2.1899516000000001</v>
      </c>
      <c r="H73" s="2">
        <v>0.68251671000000003</v>
      </c>
      <c r="I73" s="2">
        <v>0.72519098000000004</v>
      </c>
      <c r="J73" s="1">
        <v>5.9478199999999998E-14</v>
      </c>
      <c r="K73" s="2">
        <v>-819.93597</v>
      </c>
      <c r="L73" s="2">
        <v>469.25889000000001</v>
      </c>
      <c r="M73" s="2">
        <v>-65314.053999999996</v>
      </c>
      <c r="N73" s="2">
        <v>75.439031999999997</v>
      </c>
      <c r="O73" s="2">
        <v>65.332105999999996</v>
      </c>
      <c r="P73" s="2">
        <v>0.41812547999999999</v>
      </c>
      <c r="R73" s="2">
        <f t="shared" si="1"/>
        <v>8.3080012160250006E-3</v>
      </c>
      <c r="S73" s="2">
        <f t="shared" si="1"/>
        <v>-4.7547657029249997E-3</v>
      </c>
      <c r="T73" s="2">
        <f t="shared" si="1"/>
        <v>0.661794652155</v>
      </c>
      <c r="U73" s="2">
        <f t="shared" si="2"/>
        <v>1.154700755532301</v>
      </c>
    </row>
    <row r="74" spans="2:21" x14ac:dyDescent="0.3">
      <c r="B74" s="2">
        <v>32500</v>
      </c>
      <c r="C74" s="1">
        <v>5.6512606999999999E-16</v>
      </c>
      <c r="D74" s="1">
        <v>-6.5255150000000005E-16</v>
      </c>
      <c r="E74" s="2">
        <v>6.4999999999999997E-3</v>
      </c>
      <c r="F74" s="2">
        <v>5.1031152000000004</v>
      </c>
      <c r="G74" s="2">
        <v>2.2041192000000001</v>
      </c>
      <c r="H74" s="2">
        <v>0.65748156000000002</v>
      </c>
      <c r="I74" s="2">
        <v>0.75552211999999996</v>
      </c>
      <c r="J74" s="1">
        <v>5.9325210999999996E-14</v>
      </c>
      <c r="K74" s="2">
        <v>193.47944000000001</v>
      </c>
      <c r="L74" s="2">
        <v>-622.86946</v>
      </c>
      <c r="M74" s="2">
        <v>-65386.866999999998</v>
      </c>
      <c r="N74" s="2">
        <v>75.439031999999997</v>
      </c>
      <c r="O74" s="2">
        <v>65.332105999999996</v>
      </c>
      <c r="P74" s="2">
        <v>0.42465869000000001</v>
      </c>
      <c r="R74" s="2">
        <f t="shared" ref="R74:T137" si="3">-K74*$B$3</f>
        <v>-1.9604304258000003E-3</v>
      </c>
      <c r="S74" s="2">
        <f t="shared" si="3"/>
        <v>6.3112248034499999E-3</v>
      </c>
      <c r="T74" s="2">
        <f t="shared" si="3"/>
        <v>0.66253242987749994</v>
      </c>
      <c r="U74" s="2">
        <f t="shared" ref="U74:U137" si="4">-D74/C74</f>
        <v>1.154700755532301</v>
      </c>
    </row>
    <row r="75" spans="2:21" x14ac:dyDescent="0.3">
      <c r="B75" s="2">
        <v>33000</v>
      </c>
      <c r="C75" s="1">
        <v>5.6512606999999999E-16</v>
      </c>
      <c r="D75" s="1">
        <v>-6.5255150000000005E-16</v>
      </c>
      <c r="E75" s="2">
        <v>6.6E-3</v>
      </c>
      <c r="F75" s="2">
        <v>4.7967050999999996</v>
      </c>
      <c r="G75" s="2">
        <v>2.2229534000000002</v>
      </c>
      <c r="H75" s="2">
        <v>0.70667968000000003</v>
      </c>
      <c r="I75" s="2">
        <v>0.77265974000000004</v>
      </c>
      <c r="J75" s="1">
        <v>5.8037574999999999E-14</v>
      </c>
      <c r="K75" s="2">
        <v>-1512.2760000000001</v>
      </c>
      <c r="L75" s="2">
        <v>1118.2052000000001</v>
      </c>
      <c r="M75" s="2">
        <v>-67078.926000000007</v>
      </c>
      <c r="N75" s="2">
        <v>75.439031999999997</v>
      </c>
      <c r="O75" s="2">
        <v>65.332105999999996</v>
      </c>
      <c r="P75" s="2">
        <v>0.43119190000000002</v>
      </c>
      <c r="R75" s="2">
        <f t="shared" si="3"/>
        <v>1.5323136570000001E-2</v>
      </c>
      <c r="S75" s="2">
        <f t="shared" si="3"/>
        <v>-1.1330214189000001E-2</v>
      </c>
      <c r="T75" s="2">
        <f t="shared" si="3"/>
        <v>0.67967721769500011</v>
      </c>
      <c r="U75" s="2">
        <f t="shared" si="4"/>
        <v>1.154700755532301</v>
      </c>
    </row>
    <row r="76" spans="2:21" x14ac:dyDescent="0.3">
      <c r="B76" s="2">
        <v>33500</v>
      </c>
      <c r="C76" s="1">
        <v>5.6512606999999999E-16</v>
      </c>
      <c r="D76" s="1">
        <v>-6.5255150000000005E-16</v>
      </c>
      <c r="E76" s="2">
        <v>6.7000000000000002E-3</v>
      </c>
      <c r="F76" s="2">
        <v>5.0766514999999997</v>
      </c>
      <c r="G76" s="2">
        <v>2.2560728000000001</v>
      </c>
      <c r="H76" s="2">
        <v>0.68889370000000005</v>
      </c>
      <c r="I76" s="2">
        <v>0.78016611000000002</v>
      </c>
      <c r="J76" s="1">
        <v>5.8138161000000002E-14</v>
      </c>
      <c r="K76" s="2">
        <v>649.83270000000005</v>
      </c>
      <c r="L76" s="2">
        <v>-1065.2938999999999</v>
      </c>
      <c r="M76" s="2">
        <v>-67430.335000000006</v>
      </c>
      <c r="N76" s="2">
        <v>75.439031999999997</v>
      </c>
      <c r="O76" s="2">
        <v>65.332105999999996</v>
      </c>
      <c r="P76" s="2">
        <v>0.43772510999999997</v>
      </c>
      <c r="R76" s="2">
        <f t="shared" si="3"/>
        <v>-6.5844298327500002E-3</v>
      </c>
      <c r="S76" s="2">
        <f t="shared" si="3"/>
        <v>1.0794090441749999E-2</v>
      </c>
      <c r="T76" s="2">
        <f t="shared" si="3"/>
        <v>0.68323786938750009</v>
      </c>
      <c r="U76" s="2">
        <f t="shared" si="4"/>
        <v>1.154700755532301</v>
      </c>
    </row>
    <row r="77" spans="2:21" x14ac:dyDescent="0.3">
      <c r="B77" s="2">
        <v>34000</v>
      </c>
      <c r="C77" s="1">
        <v>5.6512606999999999E-16</v>
      </c>
      <c r="D77" s="1">
        <v>-6.5255150000000005E-16</v>
      </c>
      <c r="E77" s="2">
        <v>6.7999999999999996E-3</v>
      </c>
      <c r="F77" s="2">
        <v>4.8037887000000001</v>
      </c>
      <c r="G77" s="2">
        <v>2.2936466000000002</v>
      </c>
      <c r="H77" s="2">
        <v>0.73765471000000005</v>
      </c>
      <c r="I77" s="2">
        <v>0.81127976999999996</v>
      </c>
      <c r="J77" s="1">
        <v>6.0281113000000004E-14</v>
      </c>
      <c r="K77" s="2">
        <v>-1543.4407000000001</v>
      </c>
      <c r="L77" s="2">
        <v>1152.0371</v>
      </c>
      <c r="M77" s="2">
        <v>-69420.308999999994</v>
      </c>
      <c r="N77" s="2">
        <v>75.439031999999997</v>
      </c>
      <c r="O77" s="2">
        <v>65.332105999999996</v>
      </c>
      <c r="P77" s="2">
        <v>0.44425831999999998</v>
      </c>
      <c r="R77" s="2">
        <f t="shared" si="3"/>
        <v>1.563891289275E-2</v>
      </c>
      <c r="S77" s="2">
        <f t="shared" si="3"/>
        <v>-1.167301591575E-2</v>
      </c>
      <c r="T77" s="2">
        <f t="shared" si="3"/>
        <v>0.70340128094249998</v>
      </c>
      <c r="U77" s="2">
        <f t="shared" si="4"/>
        <v>1.154700755532301</v>
      </c>
    </row>
    <row r="78" spans="2:21" x14ac:dyDescent="0.3">
      <c r="B78" s="2">
        <v>34500</v>
      </c>
      <c r="C78" s="1">
        <v>5.6512606999999999E-16</v>
      </c>
      <c r="D78" s="1">
        <v>-6.5255150000000005E-16</v>
      </c>
      <c r="E78" s="2">
        <v>6.8999999999999999E-3</v>
      </c>
      <c r="F78" s="2">
        <v>5.1275732999999999</v>
      </c>
      <c r="G78" s="2">
        <v>2.3094326999999999</v>
      </c>
      <c r="H78" s="2">
        <v>0.68046172000000005</v>
      </c>
      <c r="I78" s="2">
        <v>0.83406374000000005</v>
      </c>
      <c r="J78" s="1">
        <v>6.0176752000000006E-14</v>
      </c>
      <c r="K78" s="2">
        <v>142.49037000000001</v>
      </c>
      <c r="L78" s="2">
        <v>-638.40971000000002</v>
      </c>
      <c r="M78" s="2">
        <v>-68977.75</v>
      </c>
      <c r="N78" s="2">
        <v>75.439031999999997</v>
      </c>
      <c r="O78" s="2">
        <v>65.332105999999996</v>
      </c>
      <c r="P78" s="2">
        <v>0.45079153</v>
      </c>
      <c r="R78" s="2">
        <f t="shared" si="3"/>
        <v>-1.4437836740250002E-3</v>
      </c>
      <c r="S78" s="2">
        <f t="shared" si="3"/>
        <v>6.4686863865749998E-3</v>
      </c>
      <c r="T78" s="2">
        <f t="shared" si="3"/>
        <v>0.69891705187499997</v>
      </c>
      <c r="U78" s="2">
        <f t="shared" si="4"/>
        <v>1.154700755532301</v>
      </c>
    </row>
    <row r="79" spans="2:21" x14ac:dyDescent="0.3">
      <c r="B79" s="2">
        <v>35000</v>
      </c>
      <c r="C79" s="1">
        <v>5.6512606999999999E-16</v>
      </c>
      <c r="D79" s="1">
        <v>-6.5255150000000005E-16</v>
      </c>
      <c r="E79" s="2">
        <v>7.0000000000000001E-3</v>
      </c>
      <c r="F79" s="2">
        <v>5.0538698999999996</v>
      </c>
      <c r="G79" s="2">
        <v>2.3141151999999998</v>
      </c>
      <c r="H79" s="2">
        <v>0.72400109999999995</v>
      </c>
      <c r="I79" s="2">
        <v>0.80663282000000003</v>
      </c>
      <c r="J79" s="1">
        <v>5.9523275000000005E-14</v>
      </c>
      <c r="K79" s="2">
        <v>-882.30287999999996</v>
      </c>
      <c r="L79" s="2">
        <v>475.97039999999998</v>
      </c>
      <c r="M79" s="2">
        <v>-71845.466</v>
      </c>
      <c r="N79" s="2">
        <v>75.439031999999997</v>
      </c>
      <c r="O79" s="2">
        <v>65.332105999999996</v>
      </c>
      <c r="P79" s="2">
        <v>0.45732474000000001</v>
      </c>
      <c r="R79" s="2">
        <f t="shared" si="3"/>
        <v>8.9399339315999991E-3</v>
      </c>
      <c r="S79" s="2">
        <f t="shared" si="3"/>
        <v>-4.8227700780000002E-3</v>
      </c>
      <c r="T79" s="2">
        <f t="shared" si="3"/>
        <v>0.72797418424500004</v>
      </c>
      <c r="U79" s="2">
        <f t="shared" si="4"/>
        <v>1.154700755532301</v>
      </c>
    </row>
    <row r="80" spans="2:21" x14ac:dyDescent="0.3">
      <c r="B80" s="2">
        <v>35500</v>
      </c>
      <c r="C80" s="1">
        <v>5.6512606999999999E-16</v>
      </c>
      <c r="D80" s="1">
        <v>-6.5255150000000005E-16</v>
      </c>
      <c r="E80" s="2">
        <v>7.1000000000000004E-3</v>
      </c>
      <c r="F80" s="2">
        <v>4.7165046000000004</v>
      </c>
      <c r="G80" s="2">
        <v>2.2868832000000001</v>
      </c>
      <c r="H80" s="2">
        <v>0.68929898000000001</v>
      </c>
      <c r="I80" s="2">
        <v>0.86640335999999996</v>
      </c>
      <c r="J80" s="1">
        <v>5.8437699000000005E-14</v>
      </c>
      <c r="K80" s="2">
        <v>-390.45672000000002</v>
      </c>
      <c r="L80" s="2">
        <v>-182.01695000000001</v>
      </c>
      <c r="M80" s="2">
        <v>-70859.195000000007</v>
      </c>
      <c r="N80" s="2">
        <v>75.439031999999997</v>
      </c>
      <c r="O80" s="2">
        <v>65.332105999999996</v>
      </c>
      <c r="P80" s="2">
        <v>0.46385796000000001</v>
      </c>
      <c r="R80" s="2">
        <f t="shared" si="3"/>
        <v>3.9563027154000006E-3</v>
      </c>
      <c r="S80" s="2">
        <f t="shared" si="3"/>
        <v>1.8442867458750001E-3</v>
      </c>
      <c r="T80" s="2">
        <f t="shared" si="3"/>
        <v>0.71798079333750009</v>
      </c>
      <c r="U80" s="2">
        <f t="shared" si="4"/>
        <v>1.154700755532301</v>
      </c>
    </row>
    <row r="81" spans="2:21" x14ac:dyDescent="0.3">
      <c r="B81" s="2">
        <v>36000</v>
      </c>
      <c r="C81" s="1">
        <v>5.6512606999999999E-16</v>
      </c>
      <c r="D81" s="1">
        <v>-6.5255150000000005E-16</v>
      </c>
      <c r="E81" s="2">
        <v>7.1999999999999998E-3</v>
      </c>
      <c r="F81" s="2">
        <v>4.9894223999999996</v>
      </c>
      <c r="G81" s="2">
        <v>2.347343</v>
      </c>
      <c r="H81" s="2">
        <v>0.73343124000000004</v>
      </c>
      <c r="I81" s="2">
        <v>0.84042156000000001</v>
      </c>
      <c r="J81" s="1">
        <v>5.8675287000000005E-14</v>
      </c>
      <c r="K81" s="2">
        <v>-856.08145999999999</v>
      </c>
      <c r="L81" s="2">
        <v>410.42266999999998</v>
      </c>
      <c r="M81" s="2">
        <v>-73708.399999999994</v>
      </c>
      <c r="N81" s="2">
        <v>75.439031999999997</v>
      </c>
      <c r="O81" s="2">
        <v>65.332105999999996</v>
      </c>
      <c r="P81" s="2">
        <v>0.47039117000000003</v>
      </c>
      <c r="R81" s="2">
        <f t="shared" si="3"/>
        <v>8.6742453934500006E-3</v>
      </c>
      <c r="S81" s="2">
        <f t="shared" si="3"/>
        <v>-4.158607703775E-3</v>
      </c>
      <c r="T81" s="2">
        <f t="shared" si="3"/>
        <v>0.74685036299999996</v>
      </c>
      <c r="U81" s="2">
        <f t="shared" si="4"/>
        <v>1.154700755532301</v>
      </c>
    </row>
    <row r="82" spans="2:21" x14ac:dyDescent="0.3">
      <c r="B82" s="2">
        <v>36500</v>
      </c>
      <c r="C82" s="1">
        <v>5.6512606999999999E-16</v>
      </c>
      <c r="D82" s="1">
        <v>-6.5255150000000005E-16</v>
      </c>
      <c r="E82" s="2">
        <v>7.3000000000000001E-3</v>
      </c>
      <c r="F82" s="2">
        <v>4.9433584000000002</v>
      </c>
      <c r="G82" s="2">
        <v>2.3930739000000001</v>
      </c>
      <c r="H82" s="2">
        <v>0.73794384000000002</v>
      </c>
      <c r="I82" s="2">
        <v>0.88878102999999997</v>
      </c>
      <c r="J82" s="1">
        <v>6.0109917000000004E-14</v>
      </c>
      <c r="K82" s="2">
        <v>-218.57875000000001</v>
      </c>
      <c r="L82" s="2">
        <v>-277.63344000000001</v>
      </c>
      <c r="M82" s="2">
        <v>-73518.555999999997</v>
      </c>
      <c r="N82" s="2">
        <v>75.439031999999997</v>
      </c>
      <c r="O82" s="2">
        <v>65.332105999999996</v>
      </c>
      <c r="P82" s="2">
        <v>0.47692437999999998</v>
      </c>
      <c r="R82" s="2">
        <f t="shared" si="3"/>
        <v>2.2147491843750003E-3</v>
      </c>
      <c r="S82" s="2">
        <f t="shared" si="3"/>
        <v>2.8131208308000001E-3</v>
      </c>
      <c r="T82" s="2">
        <f t="shared" si="3"/>
        <v>0.74492676866999996</v>
      </c>
      <c r="U82" s="2">
        <f t="shared" si="4"/>
        <v>1.154700755532301</v>
      </c>
    </row>
    <row r="83" spans="2:21" x14ac:dyDescent="0.3">
      <c r="B83" s="2">
        <v>37000</v>
      </c>
      <c r="C83" s="1">
        <v>5.6512606999999999E-16</v>
      </c>
      <c r="D83" s="1">
        <v>-6.5255150000000005E-16</v>
      </c>
      <c r="E83" s="2">
        <v>7.4000000000000003E-3</v>
      </c>
      <c r="F83" s="2">
        <v>5.1078773999999996</v>
      </c>
      <c r="G83" s="2">
        <v>2.4394092000000001</v>
      </c>
      <c r="H83" s="2">
        <v>0.75416335999999995</v>
      </c>
      <c r="I83" s="2">
        <v>0.89339201999999995</v>
      </c>
      <c r="J83" s="1">
        <v>6.0693228000000004E-14</v>
      </c>
      <c r="K83" s="2">
        <v>-1190.5257999999999</v>
      </c>
      <c r="L83" s="2">
        <v>729.93195000000003</v>
      </c>
      <c r="M83" s="2">
        <v>-74821.081999999995</v>
      </c>
      <c r="N83" s="2">
        <v>75.439031999999997</v>
      </c>
      <c r="O83" s="2">
        <v>65.332105999999996</v>
      </c>
      <c r="P83" s="2">
        <v>0.48345758999999999</v>
      </c>
      <c r="R83" s="2">
        <f t="shared" si="3"/>
        <v>1.2063002668499998E-2</v>
      </c>
      <c r="S83" s="2">
        <f t="shared" si="3"/>
        <v>-7.3960354833750002E-3</v>
      </c>
      <c r="T83" s="2">
        <f t="shared" si="3"/>
        <v>0.75812461336499992</v>
      </c>
      <c r="U83" s="2">
        <f t="shared" si="4"/>
        <v>1.154700755532301</v>
      </c>
    </row>
    <row r="84" spans="2:21" x14ac:dyDescent="0.3">
      <c r="B84" s="2">
        <v>37500</v>
      </c>
      <c r="C84" s="1">
        <v>5.6512606999999999E-16</v>
      </c>
      <c r="D84" s="1">
        <v>-6.5255150000000005E-16</v>
      </c>
      <c r="E84" s="2">
        <v>7.4999999999999997E-3</v>
      </c>
      <c r="F84" s="2">
        <v>5.1225233000000001</v>
      </c>
      <c r="G84" s="2">
        <v>2.4777238000000001</v>
      </c>
      <c r="H84" s="2">
        <v>0.77114837000000003</v>
      </c>
      <c r="I84" s="2">
        <v>0.91245109000000002</v>
      </c>
      <c r="J84" s="1">
        <v>6.1069815999999994E-14</v>
      </c>
      <c r="K84" s="2">
        <v>-152.39923999999999</v>
      </c>
      <c r="L84" s="2">
        <v>-306.74810000000002</v>
      </c>
      <c r="M84" s="2">
        <v>-76264.305999999997</v>
      </c>
      <c r="N84" s="2">
        <v>75.439031999999997</v>
      </c>
      <c r="O84" s="2">
        <v>65.332105999999996</v>
      </c>
      <c r="P84" s="2">
        <v>0.4899908</v>
      </c>
      <c r="R84" s="2">
        <f t="shared" si="3"/>
        <v>1.5441852992999999E-3</v>
      </c>
      <c r="S84" s="2">
        <f t="shared" si="3"/>
        <v>3.1081251232500003E-3</v>
      </c>
      <c r="T84" s="2">
        <f t="shared" si="3"/>
        <v>0.77274808054499999</v>
      </c>
      <c r="U84" s="2">
        <f t="shared" si="4"/>
        <v>1.154700755532301</v>
      </c>
    </row>
    <row r="85" spans="2:21" x14ac:dyDescent="0.3">
      <c r="B85" s="2">
        <v>38000</v>
      </c>
      <c r="C85" s="1">
        <v>5.6512606999999999E-16</v>
      </c>
      <c r="D85" s="1">
        <v>-6.5255150000000005E-16</v>
      </c>
      <c r="E85" s="2">
        <v>7.6E-3</v>
      </c>
      <c r="F85" s="2">
        <v>4.9961088</v>
      </c>
      <c r="G85" s="2">
        <v>2.4668630999999999</v>
      </c>
      <c r="H85" s="2">
        <v>0.74220233999999996</v>
      </c>
      <c r="I85" s="2">
        <v>0.95013400999999997</v>
      </c>
      <c r="J85" s="1">
        <v>5.9205750999999996E-14</v>
      </c>
      <c r="K85" s="2">
        <v>-972.29714000000001</v>
      </c>
      <c r="L85" s="2">
        <v>395.87597</v>
      </c>
      <c r="M85" s="2">
        <v>-76537.308000000005</v>
      </c>
      <c r="N85" s="2">
        <v>75.439031999999997</v>
      </c>
      <c r="O85" s="2">
        <v>65.332105999999996</v>
      </c>
      <c r="P85" s="2">
        <v>0.49652401000000002</v>
      </c>
      <c r="R85" s="2">
        <f t="shared" si="3"/>
        <v>9.8518007710500007E-3</v>
      </c>
      <c r="S85" s="2">
        <f t="shared" si="3"/>
        <v>-4.0112132660250002E-3</v>
      </c>
      <c r="T85" s="2">
        <f t="shared" si="3"/>
        <v>0.77551427331</v>
      </c>
      <c r="U85" s="2">
        <f t="shared" si="4"/>
        <v>1.154700755532301</v>
      </c>
    </row>
    <row r="86" spans="2:21" x14ac:dyDescent="0.3">
      <c r="B86" s="2">
        <v>38500</v>
      </c>
      <c r="C86" s="1">
        <v>5.6512606999999999E-16</v>
      </c>
      <c r="D86" s="1">
        <v>-6.5255150000000005E-16</v>
      </c>
      <c r="E86" s="2">
        <v>7.7000000000000002E-3</v>
      </c>
      <c r="F86" s="2">
        <v>4.9375992999999996</v>
      </c>
      <c r="G86" s="2">
        <v>2.470539</v>
      </c>
      <c r="H86" s="2">
        <v>0.77159999000000001</v>
      </c>
      <c r="I86" s="2">
        <v>0.93348275000000003</v>
      </c>
      <c r="J86" s="1">
        <v>5.7767569000000005E-14</v>
      </c>
      <c r="K86" s="2">
        <v>-866.37270000000001</v>
      </c>
      <c r="L86" s="2">
        <v>349.96865000000003</v>
      </c>
      <c r="M86" s="2">
        <v>-78116.506999999998</v>
      </c>
      <c r="N86" s="2">
        <v>75.439031999999997</v>
      </c>
      <c r="O86" s="2">
        <v>65.332105999999996</v>
      </c>
      <c r="P86" s="2">
        <v>0.50305721999999997</v>
      </c>
      <c r="R86" s="2">
        <f t="shared" si="3"/>
        <v>8.7785213827499993E-3</v>
      </c>
      <c r="S86" s="2">
        <f t="shared" si="3"/>
        <v>-3.5460573461250002E-3</v>
      </c>
      <c r="T86" s="2">
        <f t="shared" si="3"/>
        <v>0.79151550717749997</v>
      </c>
      <c r="U86" s="2">
        <f t="shared" si="4"/>
        <v>1.154700755532301</v>
      </c>
    </row>
    <row r="87" spans="2:21" x14ac:dyDescent="0.3">
      <c r="B87" s="2">
        <v>39000</v>
      </c>
      <c r="C87" s="1">
        <v>5.6512606999999999E-16</v>
      </c>
      <c r="D87" s="1">
        <v>-6.5255150000000005E-16</v>
      </c>
      <c r="E87" s="2">
        <v>7.7999999999999996E-3</v>
      </c>
      <c r="F87" s="2">
        <v>5.1561975000000002</v>
      </c>
      <c r="G87" s="2">
        <v>2.5361068000000002</v>
      </c>
      <c r="H87" s="2">
        <v>0.76324133999999999</v>
      </c>
      <c r="I87" s="2">
        <v>0.97352075999999999</v>
      </c>
      <c r="J87" s="1">
        <v>6.1160853999999999E-14</v>
      </c>
      <c r="K87" s="2">
        <v>-58.228548000000004</v>
      </c>
      <c r="L87" s="2">
        <v>-498.99615</v>
      </c>
      <c r="M87" s="2">
        <v>-78947.58</v>
      </c>
      <c r="N87" s="2">
        <v>75.439031999999997</v>
      </c>
      <c r="O87" s="2">
        <v>65.332105999999996</v>
      </c>
      <c r="P87" s="2">
        <v>0.50959043000000004</v>
      </c>
      <c r="R87" s="2">
        <f t="shared" si="3"/>
        <v>5.9000076261000003E-4</v>
      </c>
      <c r="S87" s="2">
        <f t="shared" si="3"/>
        <v>5.0560784898750002E-3</v>
      </c>
      <c r="T87" s="2">
        <f t="shared" si="3"/>
        <v>0.79993635434999999</v>
      </c>
      <c r="U87" s="2">
        <f t="shared" si="4"/>
        <v>1.154700755532301</v>
      </c>
    </row>
    <row r="88" spans="2:21" x14ac:dyDescent="0.3">
      <c r="B88" s="2">
        <v>39500</v>
      </c>
      <c r="C88" s="1">
        <v>5.6512606999999999E-16</v>
      </c>
      <c r="D88" s="1">
        <v>-6.5255150000000005E-16</v>
      </c>
      <c r="E88" s="2">
        <v>7.9000000000000008E-3</v>
      </c>
      <c r="F88" s="2">
        <v>5.2123349000000001</v>
      </c>
      <c r="G88" s="2">
        <v>2.5745705999999999</v>
      </c>
      <c r="H88" s="2">
        <v>0.77841539000000004</v>
      </c>
      <c r="I88" s="2">
        <v>0.98810781000000003</v>
      </c>
      <c r="J88" s="1">
        <v>5.9112936999999995E-14</v>
      </c>
      <c r="K88" s="2">
        <v>-1643.35</v>
      </c>
      <c r="L88" s="2">
        <v>1092.4935</v>
      </c>
      <c r="M88" s="2">
        <v>-79928.081999999995</v>
      </c>
      <c r="N88" s="2">
        <v>75.439031999999997</v>
      </c>
      <c r="O88" s="2">
        <v>65.332105999999996</v>
      </c>
      <c r="P88" s="2">
        <v>0.51612363999999999</v>
      </c>
      <c r="R88" s="2">
        <f t="shared" si="3"/>
        <v>1.6651243874999999E-2</v>
      </c>
      <c r="S88" s="2">
        <f t="shared" si="3"/>
        <v>-1.1069690388750001E-2</v>
      </c>
      <c r="T88" s="2">
        <f t="shared" si="3"/>
        <v>0.80987129086499998</v>
      </c>
      <c r="U88" s="2">
        <f t="shared" si="4"/>
        <v>1.154700755532301</v>
      </c>
    </row>
    <row r="89" spans="2:21" x14ac:dyDescent="0.3">
      <c r="B89" s="2">
        <v>40000</v>
      </c>
      <c r="C89" s="1">
        <v>5.6512606999999999E-16</v>
      </c>
      <c r="D89" s="1">
        <v>-6.5255150000000005E-16</v>
      </c>
      <c r="E89" s="2">
        <v>8.0000000000000002E-3</v>
      </c>
      <c r="F89" s="2">
        <v>5.0194872999999998</v>
      </c>
      <c r="G89" s="2">
        <v>2.54861</v>
      </c>
      <c r="H89" s="2">
        <v>0.77573948999999998</v>
      </c>
      <c r="I89" s="2">
        <v>0.99471942999999996</v>
      </c>
      <c r="J89" s="1">
        <v>6.1960658999999997E-14</v>
      </c>
      <c r="K89" s="2">
        <v>251.15575999999999</v>
      </c>
      <c r="L89" s="2">
        <v>-843.55542000000003</v>
      </c>
      <c r="M89" s="2">
        <v>-80796.585000000006</v>
      </c>
      <c r="N89" s="2">
        <v>75.439031999999997</v>
      </c>
      <c r="O89" s="2">
        <v>65.332105999999996</v>
      </c>
      <c r="P89" s="2">
        <v>0.52265684999999995</v>
      </c>
      <c r="R89" s="2">
        <f t="shared" si="3"/>
        <v>-2.5448357381999999E-3</v>
      </c>
      <c r="S89" s="2">
        <f t="shared" si="3"/>
        <v>8.5473252931500005E-3</v>
      </c>
      <c r="T89" s="2">
        <f t="shared" si="3"/>
        <v>0.81867139751250007</v>
      </c>
      <c r="U89" s="2">
        <f t="shared" si="4"/>
        <v>1.154700755532301</v>
      </c>
    </row>
    <row r="90" spans="2:21" x14ac:dyDescent="0.3">
      <c r="B90" s="2">
        <v>40500</v>
      </c>
      <c r="C90" s="1">
        <v>5.6512606999999999E-16</v>
      </c>
      <c r="D90" s="1">
        <v>-6.5255150000000005E-16</v>
      </c>
      <c r="E90" s="2">
        <v>8.0999999999999996E-3</v>
      </c>
      <c r="F90" s="2">
        <v>4.8369653000000001</v>
      </c>
      <c r="G90" s="2">
        <v>2.5500571999999999</v>
      </c>
      <c r="H90" s="2">
        <v>0.80610923999999995</v>
      </c>
      <c r="I90" s="2">
        <v>0.99409256999999995</v>
      </c>
      <c r="J90" s="1">
        <v>6.1003425000000001E-14</v>
      </c>
      <c r="K90" s="2">
        <v>-1468.6351</v>
      </c>
      <c r="L90" s="2">
        <v>904.61704999999995</v>
      </c>
      <c r="M90" s="2">
        <v>-82550.428</v>
      </c>
      <c r="N90" s="2">
        <v>75.439031999999997</v>
      </c>
      <c r="O90" s="2">
        <v>65.332105999999996</v>
      </c>
      <c r="P90" s="2">
        <v>0.52919006000000002</v>
      </c>
      <c r="R90" s="2">
        <f t="shared" si="3"/>
        <v>1.4880945150749999E-2</v>
      </c>
      <c r="S90" s="2">
        <f t="shared" si="3"/>
        <v>-9.1660322591250003E-3</v>
      </c>
      <c r="T90" s="2">
        <f t="shared" si="3"/>
        <v>0.83644221170999999</v>
      </c>
      <c r="U90" s="2">
        <f t="shared" si="4"/>
        <v>1.154700755532301</v>
      </c>
    </row>
    <row r="91" spans="2:21" x14ac:dyDescent="0.3">
      <c r="B91" s="2">
        <v>41000</v>
      </c>
      <c r="C91" s="1">
        <v>5.6512606999999999E-16</v>
      </c>
      <c r="D91" s="1">
        <v>-6.5255150000000005E-16</v>
      </c>
      <c r="E91" s="2">
        <v>8.2000000000000007E-3</v>
      </c>
      <c r="F91" s="2">
        <v>4.9393443000000001</v>
      </c>
      <c r="G91" s="2">
        <v>2.6087669</v>
      </c>
      <c r="H91" s="2">
        <v>0.77555213999999995</v>
      </c>
      <c r="I91" s="2">
        <v>1.0674878999999999</v>
      </c>
      <c r="J91" s="1">
        <v>5.8839156000000005E-14</v>
      </c>
      <c r="K91" s="2">
        <v>-308.22054000000003</v>
      </c>
      <c r="L91" s="2">
        <v>-382.37768999999997</v>
      </c>
      <c r="M91" s="2">
        <v>-81994.78</v>
      </c>
      <c r="N91" s="2">
        <v>75.439031999999997</v>
      </c>
      <c r="O91" s="2">
        <v>65.332105999999996</v>
      </c>
      <c r="P91" s="2">
        <v>0.53572326999999997</v>
      </c>
      <c r="R91" s="2">
        <f t="shared" si="3"/>
        <v>3.1230446215500004E-3</v>
      </c>
      <c r="S91" s="2">
        <f t="shared" si="3"/>
        <v>3.8744419439249995E-3</v>
      </c>
      <c r="T91" s="2">
        <f t="shared" si="3"/>
        <v>0.83081210834999997</v>
      </c>
      <c r="U91" s="2">
        <f t="shared" si="4"/>
        <v>1.154700755532301</v>
      </c>
    </row>
    <row r="92" spans="2:21" x14ac:dyDescent="0.3">
      <c r="B92" s="2">
        <v>41500</v>
      </c>
      <c r="C92" s="1">
        <v>5.6512606999999999E-16</v>
      </c>
      <c r="D92" s="1">
        <v>-6.5255150000000005E-16</v>
      </c>
      <c r="E92" s="2">
        <v>8.3000000000000001E-3</v>
      </c>
      <c r="F92" s="2">
        <v>4.8670954999999996</v>
      </c>
      <c r="G92" s="2">
        <v>2.6590009999999999</v>
      </c>
      <c r="H92" s="2">
        <v>0.87072079999999996</v>
      </c>
      <c r="I92" s="2">
        <v>1.0337537999999999</v>
      </c>
      <c r="J92" s="1">
        <v>6.0538685000000003E-14</v>
      </c>
      <c r="K92" s="2">
        <v>-1024.5295000000001</v>
      </c>
      <c r="L92" s="2">
        <v>530.30571999999995</v>
      </c>
      <c r="M92" s="2">
        <v>-85208.384999999995</v>
      </c>
      <c r="N92" s="2">
        <v>75.439031999999997</v>
      </c>
      <c r="O92" s="2">
        <v>65.332105999999996</v>
      </c>
      <c r="P92" s="2">
        <v>0.54225648000000004</v>
      </c>
      <c r="R92" s="2">
        <f t="shared" si="3"/>
        <v>1.0381045158750001E-2</v>
      </c>
      <c r="S92" s="2">
        <f t="shared" si="3"/>
        <v>-5.3733227078999997E-3</v>
      </c>
      <c r="T92" s="2">
        <f t="shared" si="3"/>
        <v>0.86337396101249997</v>
      </c>
      <c r="U92" s="2">
        <f t="shared" si="4"/>
        <v>1.154700755532301</v>
      </c>
    </row>
    <row r="93" spans="2:21" x14ac:dyDescent="0.3">
      <c r="B93" s="2">
        <v>42000</v>
      </c>
      <c r="C93" s="1">
        <v>5.6512606999999999E-16</v>
      </c>
      <c r="D93" s="1">
        <v>-6.5255150000000005E-16</v>
      </c>
      <c r="E93" s="2">
        <v>8.3999999999999995E-3</v>
      </c>
      <c r="F93" s="2">
        <v>5.2562199999999999</v>
      </c>
      <c r="G93" s="2">
        <v>2.6917178000000002</v>
      </c>
      <c r="H93" s="2">
        <v>0.77289339000000001</v>
      </c>
      <c r="I93" s="2">
        <v>1.1039736</v>
      </c>
      <c r="J93" s="1">
        <v>6.0218274999999996E-14</v>
      </c>
      <c r="K93" s="2">
        <v>-479.16514000000001</v>
      </c>
      <c r="L93" s="2">
        <v>-247.49376000000001</v>
      </c>
      <c r="M93" s="2">
        <v>-83802.460000000006</v>
      </c>
      <c r="N93" s="2">
        <v>75.439031999999997</v>
      </c>
      <c r="O93" s="2">
        <v>65.332105999999996</v>
      </c>
      <c r="P93" s="2">
        <v>0.54878969</v>
      </c>
      <c r="R93" s="2">
        <f t="shared" si="3"/>
        <v>4.8551407810499998E-3</v>
      </c>
      <c r="S93" s="2">
        <f t="shared" si="3"/>
        <v>2.5077305231999999E-3</v>
      </c>
      <c r="T93" s="2">
        <f t="shared" si="3"/>
        <v>0.84912842595000004</v>
      </c>
      <c r="U93" s="2">
        <f t="shared" si="4"/>
        <v>1.154700755532301</v>
      </c>
    </row>
    <row r="94" spans="2:21" x14ac:dyDescent="0.3">
      <c r="B94" s="2">
        <v>42500</v>
      </c>
      <c r="C94" s="1">
        <v>5.6512606999999999E-16</v>
      </c>
      <c r="D94" s="1">
        <v>-6.5255150000000005E-16</v>
      </c>
      <c r="E94" s="2">
        <v>8.5000000000000006E-3</v>
      </c>
      <c r="F94" s="2">
        <v>5.0271755999999996</v>
      </c>
      <c r="G94" s="2">
        <v>2.7169305000000001</v>
      </c>
      <c r="H94" s="2">
        <v>0.85983288999999996</v>
      </c>
      <c r="I94" s="2">
        <v>1.0777547000000001</v>
      </c>
      <c r="J94" s="1">
        <v>5.9297677999999999E-14</v>
      </c>
      <c r="K94" s="2">
        <v>-1467.5023000000001</v>
      </c>
      <c r="L94" s="2">
        <v>902.36778000000004</v>
      </c>
      <c r="M94" s="2">
        <v>-86992.338000000003</v>
      </c>
      <c r="N94" s="2">
        <v>75.439031999999997</v>
      </c>
      <c r="O94" s="2">
        <v>65.332105999999996</v>
      </c>
      <c r="P94" s="2">
        <v>0.55532289999999995</v>
      </c>
      <c r="R94" s="2">
        <f t="shared" si="3"/>
        <v>1.486946705475E-2</v>
      </c>
      <c r="S94" s="2">
        <f t="shared" si="3"/>
        <v>-9.143241530850001E-3</v>
      </c>
      <c r="T94" s="2">
        <f t="shared" si="3"/>
        <v>0.88144986478499998</v>
      </c>
      <c r="U94" s="2">
        <f t="shared" si="4"/>
        <v>1.154700755532301</v>
      </c>
    </row>
    <row r="95" spans="2:21" x14ac:dyDescent="0.3">
      <c r="B95" s="2">
        <v>43000</v>
      </c>
      <c r="C95" s="1">
        <v>5.6512606999999999E-16</v>
      </c>
      <c r="D95" s="1">
        <v>-6.5255150000000005E-16</v>
      </c>
      <c r="E95" s="2">
        <v>8.6E-3</v>
      </c>
      <c r="F95" s="2">
        <v>4.9219713</v>
      </c>
      <c r="G95" s="2">
        <v>2.7058125999999998</v>
      </c>
      <c r="H95" s="2">
        <v>0.82659552000000003</v>
      </c>
      <c r="I95" s="2">
        <v>1.1161835</v>
      </c>
      <c r="J95" s="1">
        <v>5.9511062999999995E-14</v>
      </c>
      <c r="K95" s="2">
        <v>144.75666000000001</v>
      </c>
      <c r="L95" s="2">
        <v>-829.54921999999999</v>
      </c>
      <c r="M95" s="2">
        <v>-86501.951000000001</v>
      </c>
      <c r="N95" s="2">
        <v>75.439031999999997</v>
      </c>
      <c r="O95" s="2">
        <v>65.332105999999996</v>
      </c>
      <c r="P95" s="2">
        <v>0.56185611999999996</v>
      </c>
      <c r="R95" s="2">
        <f t="shared" si="3"/>
        <v>-1.46674685745E-3</v>
      </c>
      <c r="S95" s="2">
        <f t="shared" si="3"/>
        <v>8.4054074716500005E-3</v>
      </c>
      <c r="T95" s="2">
        <f t="shared" si="3"/>
        <v>0.87648101850750004</v>
      </c>
      <c r="U95" s="2">
        <f t="shared" si="4"/>
        <v>1.154700755532301</v>
      </c>
    </row>
    <row r="96" spans="2:21" x14ac:dyDescent="0.3">
      <c r="B96" s="2">
        <v>43500</v>
      </c>
      <c r="C96" s="1">
        <v>5.6512606999999999E-16</v>
      </c>
      <c r="D96" s="1">
        <v>-6.5255150000000005E-16</v>
      </c>
      <c r="E96" s="2">
        <v>8.6999999999999994E-3</v>
      </c>
      <c r="F96" s="2">
        <v>4.9257442999999999</v>
      </c>
      <c r="G96" s="2">
        <v>2.7327683</v>
      </c>
      <c r="H96" s="2">
        <v>0.84470666999999999</v>
      </c>
      <c r="I96" s="2">
        <v>1.1244432</v>
      </c>
      <c r="J96" s="1">
        <v>6.1283201000000003E-14</v>
      </c>
      <c r="K96" s="2">
        <v>-2060.7170000000001</v>
      </c>
      <c r="L96" s="2">
        <v>1385.9937</v>
      </c>
      <c r="M96" s="2">
        <v>-88244.073000000004</v>
      </c>
      <c r="N96" s="2">
        <v>75.439031999999997</v>
      </c>
      <c r="O96" s="2">
        <v>65.332105999999996</v>
      </c>
      <c r="P96" s="2">
        <v>0.56838933000000003</v>
      </c>
      <c r="R96" s="2">
        <f t="shared" si="3"/>
        <v>2.0880215002500001E-2</v>
      </c>
      <c r="S96" s="2">
        <f t="shared" si="3"/>
        <v>-1.4043581165250001E-2</v>
      </c>
      <c r="T96" s="2">
        <f t="shared" si="3"/>
        <v>0.89413306967250006</v>
      </c>
      <c r="U96" s="2">
        <f t="shared" si="4"/>
        <v>1.154700755532301</v>
      </c>
    </row>
    <row r="97" spans="2:21" x14ac:dyDescent="0.3">
      <c r="B97" s="2">
        <v>44000</v>
      </c>
      <c r="C97" s="1">
        <v>5.6512606999999999E-16</v>
      </c>
      <c r="D97" s="1">
        <v>-6.5255150000000005E-16</v>
      </c>
      <c r="E97" s="2">
        <v>8.8000000000000005E-3</v>
      </c>
      <c r="F97" s="2">
        <v>4.9900409000000003</v>
      </c>
      <c r="G97" s="2">
        <v>2.7629557</v>
      </c>
      <c r="H97" s="2">
        <v>0.84179152999999995</v>
      </c>
      <c r="I97" s="2">
        <v>1.1475781</v>
      </c>
      <c r="J97" s="1">
        <v>5.9066528999999995E-14</v>
      </c>
      <c r="K97" s="2">
        <v>188.79035999999999</v>
      </c>
      <c r="L97" s="2">
        <v>-897.99743999999998</v>
      </c>
      <c r="M97" s="2">
        <v>-88913.688999999998</v>
      </c>
      <c r="N97" s="2">
        <v>75.439031999999997</v>
      </c>
      <c r="O97" s="2">
        <v>65.332105999999996</v>
      </c>
      <c r="P97" s="2">
        <v>0.57492253999999998</v>
      </c>
      <c r="R97" s="2">
        <f t="shared" si="3"/>
        <v>-1.9129183227E-3</v>
      </c>
      <c r="S97" s="2">
        <f t="shared" si="3"/>
        <v>9.0989590608000007E-3</v>
      </c>
      <c r="T97" s="2">
        <f t="shared" si="3"/>
        <v>0.90091795379249995</v>
      </c>
      <c r="U97" s="2">
        <f t="shared" si="4"/>
        <v>1.154700755532301</v>
      </c>
    </row>
    <row r="98" spans="2:21" x14ac:dyDescent="0.3">
      <c r="B98" s="2">
        <v>44500</v>
      </c>
      <c r="C98" s="1">
        <v>5.6512606999999999E-16</v>
      </c>
      <c r="D98" s="1">
        <v>-6.5255150000000005E-16</v>
      </c>
      <c r="E98" s="2">
        <v>8.8999999999999999E-3</v>
      </c>
      <c r="F98" s="2">
        <v>5.2062086000000001</v>
      </c>
      <c r="G98" s="2">
        <v>2.8712960999999999</v>
      </c>
      <c r="H98" s="2">
        <v>0.88037082</v>
      </c>
      <c r="I98" s="2">
        <v>1.1838276000000001</v>
      </c>
      <c r="J98" s="1">
        <v>5.9267479999999996E-14</v>
      </c>
      <c r="K98" s="2">
        <v>-1654.4591</v>
      </c>
      <c r="L98" s="2">
        <v>997.88455999999996</v>
      </c>
      <c r="M98" s="2">
        <v>-90503.312000000005</v>
      </c>
      <c r="N98" s="2">
        <v>75.439031999999997</v>
      </c>
      <c r="O98" s="2">
        <v>65.332105999999996</v>
      </c>
      <c r="P98" s="2">
        <v>0.58145575000000005</v>
      </c>
      <c r="R98" s="2">
        <f t="shared" si="3"/>
        <v>1.6763806830749999E-2</v>
      </c>
      <c r="S98" s="2">
        <f t="shared" si="3"/>
        <v>-1.0111065304199999E-2</v>
      </c>
      <c r="T98" s="2">
        <f t="shared" si="3"/>
        <v>0.91702480884000004</v>
      </c>
      <c r="U98" s="2">
        <f t="shared" si="4"/>
        <v>1.154700755532301</v>
      </c>
    </row>
    <row r="99" spans="2:21" x14ac:dyDescent="0.3">
      <c r="B99" s="2">
        <v>45000</v>
      </c>
      <c r="C99" s="1">
        <v>5.6512606999999999E-16</v>
      </c>
      <c r="D99" s="1">
        <v>-6.5255150000000005E-16</v>
      </c>
      <c r="E99" s="2">
        <v>8.9999999999999993E-3</v>
      </c>
      <c r="F99" s="2">
        <v>5.0130255999999997</v>
      </c>
      <c r="G99" s="2">
        <v>2.8358294000000002</v>
      </c>
      <c r="H99" s="2">
        <v>0.85101629999999995</v>
      </c>
      <c r="I99" s="2">
        <v>1.2076638</v>
      </c>
      <c r="J99" s="1">
        <v>5.8377969000000006E-14</v>
      </c>
      <c r="K99" s="2">
        <v>-708.90608999999995</v>
      </c>
      <c r="L99" s="2">
        <v>-55.419029000000002</v>
      </c>
      <c r="M99" s="2">
        <v>-90290.013000000006</v>
      </c>
      <c r="N99" s="2">
        <v>75.439031999999997</v>
      </c>
      <c r="O99" s="2">
        <v>65.332105999999996</v>
      </c>
      <c r="P99" s="2">
        <v>0.58798896</v>
      </c>
      <c r="R99" s="2">
        <f t="shared" si="3"/>
        <v>7.1829909569249995E-3</v>
      </c>
      <c r="S99" s="2">
        <f t="shared" si="3"/>
        <v>5.6153331134249998E-4</v>
      </c>
      <c r="T99" s="2">
        <f t="shared" si="3"/>
        <v>0.91486355672250008</v>
      </c>
      <c r="U99" s="2">
        <f t="shared" si="4"/>
        <v>1.154700755532301</v>
      </c>
    </row>
    <row r="100" spans="2:21" x14ac:dyDescent="0.3">
      <c r="B100" s="2">
        <v>45500</v>
      </c>
      <c r="C100" s="1">
        <v>5.6512606999999999E-16</v>
      </c>
      <c r="D100" s="1">
        <v>-6.5255150000000005E-16</v>
      </c>
      <c r="E100" s="2">
        <v>9.1000000000000004E-3</v>
      </c>
      <c r="F100" s="2">
        <v>5.0121919999999998</v>
      </c>
      <c r="G100" s="2">
        <v>2.8485022</v>
      </c>
      <c r="H100" s="2">
        <v>0.87997265000000002</v>
      </c>
      <c r="I100" s="2">
        <v>1.1915095</v>
      </c>
      <c r="J100" s="1">
        <v>5.7670979000000002E-14</v>
      </c>
      <c r="K100" s="2">
        <v>-925.25531999999998</v>
      </c>
      <c r="L100" s="2">
        <v>213.96844999999999</v>
      </c>
      <c r="M100" s="2">
        <v>-93055.546000000002</v>
      </c>
      <c r="N100" s="2">
        <v>75.439031999999997</v>
      </c>
      <c r="O100" s="2">
        <v>65.332105999999996</v>
      </c>
      <c r="P100" s="2">
        <v>0.59452216999999996</v>
      </c>
      <c r="R100" s="2">
        <f t="shared" si="3"/>
        <v>9.3751495298999999E-3</v>
      </c>
      <c r="S100" s="2">
        <f t="shared" si="3"/>
        <v>-2.1680353196250001E-3</v>
      </c>
      <c r="T100" s="2">
        <f t="shared" si="3"/>
        <v>0.94288531984500001</v>
      </c>
      <c r="U100" s="2">
        <f t="shared" si="4"/>
        <v>1.154700755532301</v>
      </c>
    </row>
    <row r="101" spans="2:21" x14ac:dyDescent="0.3">
      <c r="B101" s="2">
        <v>46000</v>
      </c>
      <c r="C101" s="1">
        <v>5.6512606999999999E-16</v>
      </c>
      <c r="D101" s="1">
        <v>-6.5255150000000005E-16</v>
      </c>
      <c r="E101" s="2">
        <v>9.1999999999999998E-3</v>
      </c>
      <c r="F101" s="2">
        <v>5.0244907000000003</v>
      </c>
      <c r="G101" s="2">
        <v>2.8567985999999999</v>
      </c>
      <c r="H101" s="2">
        <v>0.83610063000000001</v>
      </c>
      <c r="I101" s="2">
        <v>1.2417712000000001</v>
      </c>
      <c r="J101" s="1">
        <v>5.8157478999999995E-14</v>
      </c>
      <c r="K101" s="2">
        <v>-1121.79</v>
      </c>
      <c r="L101" s="2">
        <v>269.94519000000003</v>
      </c>
      <c r="M101" s="2">
        <v>-92356.345000000001</v>
      </c>
      <c r="N101" s="2">
        <v>75.439031999999997</v>
      </c>
      <c r="O101" s="2">
        <v>65.332105999999996</v>
      </c>
      <c r="P101" s="2">
        <v>0.60105538000000003</v>
      </c>
      <c r="R101" s="2">
        <f t="shared" si="3"/>
        <v>1.1366537175E-2</v>
      </c>
      <c r="S101" s="2">
        <f t="shared" si="3"/>
        <v>-2.7352196376750001E-3</v>
      </c>
      <c r="T101" s="2">
        <f t="shared" si="3"/>
        <v>0.93580066571249998</v>
      </c>
      <c r="U101" s="2">
        <f t="shared" si="4"/>
        <v>1.154700755532301</v>
      </c>
    </row>
    <row r="102" spans="2:21" x14ac:dyDescent="0.3">
      <c r="B102" s="2">
        <v>46500</v>
      </c>
      <c r="C102" s="1">
        <v>5.6512606999999999E-16</v>
      </c>
      <c r="D102" s="1">
        <v>-6.5255150000000005E-16</v>
      </c>
      <c r="E102" s="2">
        <v>9.2999999999999992E-3</v>
      </c>
      <c r="F102" s="2">
        <v>4.7506301000000004</v>
      </c>
      <c r="G102" s="2">
        <v>2.8517920999999999</v>
      </c>
      <c r="H102" s="2">
        <v>0.87915821000000005</v>
      </c>
      <c r="I102" s="2">
        <v>1.2361626999999999</v>
      </c>
      <c r="J102" s="1">
        <v>5.9080295999999996E-14</v>
      </c>
      <c r="K102" s="2">
        <v>-1137.5899999999999</v>
      </c>
      <c r="L102" s="2">
        <v>334.28210000000001</v>
      </c>
      <c r="M102" s="2">
        <v>-94397.082999999999</v>
      </c>
      <c r="N102" s="2">
        <v>75.439031999999997</v>
      </c>
      <c r="O102" s="2">
        <v>65.332105999999996</v>
      </c>
      <c r="P102" s="2">
        <v>0.60758858999999998</v>
      </c>
      <c r="R102" s="2">
        <f t="shared" si="3"/>
        <v>1.1526630675E-2</v>
      </c>
      <c r="S102" s="2">
        <f t="shared" si="3"/>
        <v>-3.3871133782500001E-3</v>
      </c>
      <c r="T102" s="2">
        <f t="shared" si="3"/>
        <v>0.9564784434975</v>
      </c>
      <c r="U102" s="2">
        <f t="shared" si="4"/>
        <v>1.154700755532301</v>
      </c>
    </row>
    <row r="103" spans="2:21" x14ac:dyDescent="0.3">
      <c r="B103" s="2">
        <v>47000</v>
      </c>
      <c r="C103" s="1">
        <v>5.6512606999999999E-16</v>
      </c>
      <c r="D103" s="1">
        <v>-6.5255150000000005E-16</v>
      </c>
      <c r="E103" s="2">
        <v>9.4000000000000004E-3</v>
      </c>
      <c r="F103" s="2">
        <v>4.9073010000000004</v>
      </c>
      <c r="G103" s="2">
        <v>2.9403011000000001</v>
      </c>
      <c r="H103" s="2">
        <v>0.91198963</v>
      </c>
      <c r="I103" s="2">
        <v>1.2675523</v>
      </c>
      <c r="J103" s="1">
        <v>5.8649530000000004E-14</v>
      </c>
      <c r="K103" s="2">
        <v>-508.98327999999998</v>
      </c>
      <c r="L103" s="2">
        <v>-259.78384</v>
      </c>
      <c r="M103" s="2">
        <v>-95322.55</v>
      </c>
      <c r="N103" s="2">
        <v>75.439031999999997</v>
      </c>
      <c r="O103" s="2">
        <v>65.332105999999996</v>
      </c>
      <c r="P103" s="2">
        <v>0.61412180000000005</v>
      </c>
      <c r="R103" s="2">
        <f t="shared" si="3"/>
        <v>5.1572730846000002E-3</v>
      </c>
      <c r="S103" s="2">
        <f t="shared" si="3"/>
        <v>2.6322597587999999E-3</v>
      </c>
      <c r="T103" s="2">
        <f t="shared" si="3"/>
        <v>0.96585573787500001</v>
      </c>
      <c r="U103" s="2">
        <f t="shared" si="4"/>
        <v>1.154700755532301</v>
      </c>
    </row>
    <row r="104" spans="2:21" x14ac:dyDescent="0.3">
      <c r="B104" s="2">
        <v>47500</v>
      </c>
      <c r="C104" s="1">
        <v>5.6512606999999999E-16</v>
      </c>
      <c r="D104" s="1">
        <v>-6.5255150000000005E-16</v>
      </c>
      <c r="E104" s="2">
        <v>9.4999999999999998E-3</v>
      </c>
      <c r="F104" s="2">
        <v>5.1135865000000003</v>
      </c>
      <c r="G104" s="2">
        <v>2.9841373999999998</v>
      </c>
      <c r="H104" s="2">
        <v>0.88963254999999997</v>
      </c>
      <c r="I104" s="2">
        <v>1.301766</v>
      </c>
      <c r="J104" s="1">
        <v>6.0242034000000004E-14</v>
      </c>
      <c r="K104" s="2">
        <v>-1566.3151</v>
      </c>
      <c r="L104" s="2">
        <v>731.48324000000002</v>
      </c>
      <c r="M104" s="2">
        <v>-95681.546000000002</v>
      </c>
      <c r="N104" s="2">
        <v>75.439031999999997</v>
      </c>
      <c r="O104" s="2">
        <v>65.332105999999996</v>
      </c>
      <c r="P104" s="2">
        <v>0.62065501000000001</v>
      </c>
      <c r="R104" s="2">
        <f t="shared" si="3"/>
        <v>1.5870687750750002E-2</v>
      </c>
      <c r="S104" s="2">
        <f t="shared" si="3"/>
        <v>-7.4117539292999999E-3</v>
      </c>
      <c r="T104" s="2">
        <f t="shared" si="3"/>
        <v>0.96949326484499998</v>
      </c>
      <c r="U104" s="2">
        <f t="shared" si="4"/>
        <v>1.154700755532301</v>
      </c>
    </row>
    <row r="105" spans="2:21" x14ac:dyDescent="0.3">
      <c r="B105" s="2">
        <v>48000</v>
      </c>
      <c r="C105" s="1">
        <v>5.6512606999999999E-16</v>
      </c>
      <c r="D105" s="1">
        <v>-6.5255150000000005E-16</v>
      </c>
      <c r="E105" s="2">
        <v>9.5999999999999992E-3</v>
      </c>
      <c r="F105" s="2">
        <v>4.9431922000000004</v>
      </c>
      <c r="G105" s="2">
        <v>2.9686035999999998</v>
      </c>
      <c r="H105" s="2">
        <v>0.91889832999999999</v>
      </c>
      <c r="I105" s="2">
        <v>1.2833819</v>
      </c>
      <c r="J105" s="1">
        <v>6.0664362000000001E-14</v>
      </c>
      <c r="K105" s="2">
        <v>-725.29507000000001</v>
      </c>
      <c r="L105" s="2">
        <v>-71.815770000000001</v>
      </c>
      <c r="M105" s="2">
        <v>-97534.311000000002</v>
      </c>
      <c r="N105" s="2">
        <v>75.439031999999997</v>
      </c>
      <c r="O105" s="2">
        <v>65.332105999999996</v>
      </c>
      <c r="P105" s="2">
        <v>0.62718821999999996</v>
      </c>
      <c r="R105" s="2">
        <f t="shared" si="3"/>
        <v>7.3490522967750004E-3</v>
      </c>
      <c r="S105" s="2">
        <f t="shared" si="3"/>
        <v>7.2767328952499997E-4</v>
      </c>
      <c r="T105" s="2">
        <f t="shared" si="3"/>
        <v>0.98826640620750006</v>
      </c>
      <c r="U105" s="2">
        <f t="shared" si="4"/>
        <v>1.154700755532301</v>
      </c>
    </row>
    <row r="106" spans="2:21" x14ac:dyDescent="0.3">
      <c r="B106" s="2">
        <v>48500</v>
      </c>
      <c r="C106" s="1">
        <v>5.6512606999999999E-16</v>
      </c>
      <c r="D106" s="1">
        <v>-6.5255150000000005E-16</v>
      </c>
      <c r="E106" s="2">
        <v>9.7000000000000003E-3</v>
      </c>
      <c r="F106" s="2">
        <v>4.9923504999999997</v>
      </c>
      <c r="G106" s="2">
        <v>2.9849382000000002</v>
      </c>
      <c r="H106" s="2">
        <v>0.89131974999999997</v>
      </c>
      <c r="I106" s="2">
        <v>1.3196743</v>
      </c>
      <c r="J106" s="1">
        <v>6.0409232999999998E-14</v>
      </c>
      <c r="K106" s="2">
        <v>-950.60617000000002</v>
      </c>
      <c r="L106" s="2">
        <v>60.223573000000002</v>
      </c>
      <c r="M106" s="2">
        <v>-98045.960999999996</v>
      </c>
      <c r="N106" s="2">
        <v>75.439031999999997</v>
      </c>
      <c r="O106" s="2">
        <v>65.332105999999996</v>
      </c>
      <c r="P106" s="2">
        <v>0.63372143000000003</v>
      </c>
      <c r="R106" s="2">
        <f t="shared" si="3"/>
        <v>9.6320170175250002E-3</v>
      </c>
      <c r="S106" s="2">
        <f t="shared" si="3"/>
        <v>-6.1021535342250003E-4</v>
      </c>
      <c r="T106" s="2">
        <f t="shared" si="3"/>
        <v>0.99345069983250001</v>
      </c>
      <c r="U106" s="2">
        <f t="shared" si="4"/>
        <v>1.154700755532301</v>
      </c>
    </row>
    <row r="107" spans="2:21" x14ac:dyDescent="0.3">
      <c r="B107" s="2">
        <v>49000</v>
      </c>
      <c r="C107" s="1">
        <v>5.6512606999999999E-16</v>
      </c>
      <c r="D107" s="1">
        <v>-6.5255150000000005E-16</v>
      </c>
      <c r="E107" s="2">
        <v>9.7999999999999997E-3</v>
      </c>
      <c r="F107" s="2">
        <v>5.0657582999999997</v>
      </c>
      <c r="G107" s="2">
        <v>3.0400415000000001</v>
      </c>
      <c r="H107" s="2">
        <v>0.89785583999999996</v>
      </c>
      <c r="I107" s="2">
        <v>1.3568614000000001</v>
      </c>
      <c r="J107" s="1">
        <v>5.7796877999999998E-14</v>
      </c>
      <c r="K107" s="2">
        <v>-1680.8959</v>
      </c>
      <c r="L107" s="2">
        <v>757.19844999999998</v>
      </c>
      <c r="M107" s="2">
        <v>-99089.328999999998</v>
      </c>
      <c r="N107" s="2">
        <v>75.439031999999997</v>
      </c>
      <c r="O107" s="2">
        <v>65.332105999999996</v>
      </c>
      <c r="P107" s="2">
        <v>0.64025463999999999</v>
      </c>
      <c r="R107" s="2">
        <f t="shared" si="3"/>
        <v>1.7031677706750001E-2</v>
      </c>
      <c r="S107" s="2">
        <f t="shared" si="3"/>
        <v>-7.6723132946249998E-3</v>
      </c>
      <c r="T107" s="2">
        <f t="shared" si="3"/>
        <v>1.0040226260925</v>
      </c>
      <c r="U107" s="2">
        <f t="shared" si="4"/>
        <v>1.154700755532301</v>
      </c>
    </row>
    <row r="108" spans="2:21" x14ac:dyDescent="0.3">
      <c r="B108" s="2">
        <v>49500</v>
      </c>
      <c r="C108" s="1">
        <v>5.6512606999999999E-16</v>
      </c>
      <c r="D108" s="1">
        <v>-6.5255150000000005E-16</v>
      </c>
      <c r="E108" s="2">
        <v>9.9000000000000008E-3</v>
      </c>
      <c r="F108" s="2">
        <v>4.8576414000000003</v>
      </c>
      <c r="G108" s="2">
        <v>3.0990690000000001</v>
      </c>
      <c r="H108" s="2">
        <v>0.94979933000000005</v>
      </c>
      <c r="I108" s="2">
        <v>1.3962089</v>
      </c>
      <c r="J108" s="1">
        <v>5.7423620999999995E-14</v>
      </c>
      <c r="K108" s="2">
        <v>-427.55430999999999</v>
      </c>
      <c r="L108" s="2">
        <v>-463.22498000000002</v>
      </c>
      <c r="M108" s="2">
        <v>-100288.94</v>
      </c>
      <c r="N108" s="2">
        <v>75.439031999999997</v>
      </c>
      <c r="O108" s="2">
        <v>65.332105999999996</v>
      </c>
      <c r="P108" s="2">
        <v>0.64678785000000005</v>
      </c>
      <c r="R108" s="2">
        <f t="shared" si="3"/>
        <v>4.3321940460749999E-3</v>
      </c>
      <c r="S108" s="2">
        <f t="shared" si="3"/>
        <v>4.6936271098500003E-3</v>
      </c>
      <c r="T108" s="2">
        <f t="shared" si="3"/>
        <v>1.0161776845500001</v>
      </c>
      <c r="U108" s="2">
        <f t="shared" si="4"/>
        <v>1.154700755532301</v>
      </c>
    </row>
    <row r="109" spans="2:21" x14ac:dyDescent="0.3">
      <c r="B109" s="2">
        <v>50000</v>
      </c>
      <c r="C109" s="1">
        <v>5.6512606999999999E-16</v>
      </c>
      <c r="D109" s="1">
        <v>-6.5255150000000005E-16</v>
      </c>
      <c r="E109" s="2">
        <v>0.01</v>
      </c>
      <c r="F109" s="2">
        <v>5.0920088000000003</v>
      </c>
      <c r="G109" s="2">
        <v>3.1268109000000002</v>
      </c>
      <c r="H109" s="2">
        <v>0.94365770000000004</v>
      </c>
      <c r="I109" s="2">
        <v>1.3937594</v>
      </c>
      <c r="J109" s="1">
        <v>5.7621018999999998E-14</v>
      </c>
      <c r="K109" s="2">
        <v>-1801.0608</v>
      </c>
      <c r="L109" s="2">
        <v>908.35186999999996</v>
      </c>
      <c r="M109" s="2">
        <v>-101278.86</v>
      </c>
      <c r="N109" s="2">
        <v>75.439031999999997</v>
      </c>
      <c r="O109" s="2">
        <v>65.332105999999996</v>
      </c>
      <c r="P109" s="2">
        <v>0.65332106000000001</v>
      </c>
      <c r="R109" s="2">
        <f t="shared" si="3"/>
        <v>1.8249248555999999E-2</v>
      </c>
      <c r="S109" s="2">
        <f t="shared" si="3"/>
        <v>-9.2038753227749997E-3</v>
      </c>
      <c r="T109" s="2">
        <f t="shared" si="3"/>
        <v>1.0262080489500001</v>
      </c>
      <c r="U109" s="2">
        <f t="shared" si="4"/>
        <v>1.154700755532301</v>
      </c>
    </row>
    <row r="110" spans="2:21" x14ac:dyDescent="0.3">
      <c r="R110" s="2">
        <f t="shared" si="3"/>
        <v>0</v>
      </c>
      <c r="S110" s="2">
        <f t="shared" si="3"/>
        <v>0</v>
      </c>
      <c r="T110" s="2">
        <f t="shared" si="3"/>
        <v>0</v>
      </c>
      <c r="U110" s="2" t="e">
        <f t="shared" si="4"/>
        <v>#DIV/0!</v>
      </c>
    </row>
    <row r="111" spans="2:21" x14ac:dyDescent="0.3">
      <c r="B111" s="2">
        <v>51000</v>
      </c>
      <c r="C111" s="2">
        <v>1.0200000000000001E-2</v>
      </c>
      <c r="D111" s="2">
        <v>-2.7228905000000001E-3</v>
      </c>
      <c r="E111" s="2">
        <v>0</v>
      </c>
      <c r="F111" s="2">
        <v>0.99499397999999994</v>
      </c>
      <c r="G111" s="2">
        <v>4.4093109999999998</v>
      </c>
      <c r="H111" s="2">
        <v>2.3865338</v>
      </c>
      <c r="I111" s="2">
        <v>1.8685273</v>
      </c>
      <c r="J111" s="2">
        <v>6.1793458999999997E-14</v>
      </c>
      <c r="K111" s="2">
        <v>-260554.26</v>
      </c>
      <c r="L111" s="2">
        <v>-622.68547999999998</v>
      </c>
      <c r="M111" s="2">
        <v>443.37401</v>
      </c>
      <c r="N111" s="2">
        <v>76.207465999999997</v>
      </c>
      <c r="O111" s="2">
        <v>65.153329999999997</v>
      </c>
      <c r="P111" s="2">
        <v>0</v>
      </c>
      <c r="R111" s="2">
        <f t="shared" si="3"/>
        <v>2.6400660394500002</v>
      </c>
      <c r="S111" s="2">
        <f t="shared" si="3"/>
        <v>6.3093606260999999E-3</v>
      </c>
      <c r="T111" s="2">
        <f t="shared" si="3"/>
        <v>-4.4924871563249997E-3</v>
      </c>
      <c r="U111" s="2">
        <f t="shared" si="4"/>
        <v>0.26695004901960784</v>
      </c>
    </row>
    <row r="112" spans="2:21" x14ac:dyDescent="0.3">
      <c r="B112" s="2">
        <v>51500</v>
      </c>
      <c r="C112" s="2">
        <v>1.03E-2</v>
      </c>
      <c r="D112" s="2">
        <v>-2.7318123999999998E-3</v>
      </c>
      <c r="E112" s="2">
        <v>0</v>
      </c>
      <c r="F112" s="2">
        <v>1.0633642000000001</v>
      </c>
      <c r="G112" s="2">
        <v>4.4912162000000002</v>
      </c>
      <c r="H112" s="2">
        <v>2.4317758</v>
      </c>
      <c r="I112" s="2">
        <v>1.8945913000000001</v>
      </c>
      <c r="J112" s="2">
        <v>5.9604321000000004E-14</v>
      </c>
      <c r="K112" s="2">
        <v>-263135.71999999997</v>
      </c>
      <c r="L112" s="2">
        <v>-1157.4846</v>
      </c>
      <c r="M112" s="2">
        <v>365.35081000000002</v>
      </c>
      <c r="N112" s="2">
        <v>76.215010000000007</v>
      </c>
      <c r="O112" s="2">
        <v>65.152748000000003</v>
      </c>
      <c r="P112" s="2">
        <v>0</v>
      </c>
      <c r="R112" s="2">
        <f t="shared" si="3"/>
        <v>2.6662226828999995</v>
      </c>
      <c r="S112" s="2">
        <f t="shared" si="3"/>
        <v>1.17282127095E-2</v>
      </c>
      <c r="T112" s="2">
        <f t="shared" si="3"/>
        <v>-3.7019170823250004E-3</v>
      </c>
      <c r="U112" s="2">
        <f t="shared" si="4"/>
        <v>0.26522450485436894</v>
      </c>
    </row>
    <row r="113" spans="2:21" x14ac:dyDescent="0.3">
      <c r="B113" s="2">
        <v>52000</v>
      </c>
      <c r="C113" s="2">
        <v>1.04E-2</v>
      </c>
      <c r="D113" s="2">
        <v>-2.86119E-3</v>
      </c>
      <c r="E113" s="2">
        <v>0</v>
      </c>
      <c r="F113" s="2">
        <v>0.98838577999999999</v>
      </c>
      <c r="G113" s="2">
        <v>4.5674146999999996</v>
      </c>
      <c r="H113" s="2">
        <v>2.4477597000000002</v>
      </c>
      <c r="I113" s="2">
        <v>1.9664295000000001</v>
      </c>
      <c r="J113" s="2">
        <v>6.0117021999999994E-14</v>
      </c>
      <c r="K113" s="2">
        <v>-264901.28999999998</v>
      </c>
      <c r="L113" s="2">
        <v>1603.0107</v>
      </c>
      <c r="M113" s="2">
        <v>-142.04463000000001</v>
      </c>
      <c r="N113" s="2">
        <v>76.222554000000002</v>
      </c>
      <c r="O113" s="2">
        <v>65.144295</v>
      </c>
      <c r="P113" s="2">
        <v>0</v>
      </c>
      <c r="R113" s="2">
        <f t="shared" si="3"/>
        <v>2.6841123209249997</v>
      </c>
      <c r="S113" s="2">
        <f t="shared" si="3"/>
        <v>-1.6242505917750002E-2</v>
      </c>
      <c r="T113" s="2">
        <f t="shared" si="3"/>
        <v>1.4392672134750002E-3</v>
      </c>
      <c r="U113" s="2">
        <f t="shared" si="4"/>
        <v>0.27511442307692308</v>
      </c>
    </row>
    <row r="114" spans="2:21" x14ac:dyDescent="0.3">
      <c r="B114" s="2">
        <v>52500</v>
      </c>
      <c r="C114" s="2">
        <v>1.0500000000000001E-2</v>
      </c>
      <c r="D114" s="2">
        <v>-2.8301829E-3</v>
      </c>
      <c r="E114" s="2">
        <v>0</v>
      </c>
      <c r="F114" s="2">
        <v>0.99645952000000004</v>
      </c>
      <c r="G114" s="2">
        <v>4.6510287999999997</v>
      </c>
      <c r="H114" s="2">
        <v>2.5024848999999998</v>
      </c>
      <c r="I114" s="2">
        <v>1.9940667999999999</v>
      </c>
      <c r="J114" s="2">
        <v>5.9715122000000004E-14</v>
      </c>
      <c r="K114" s="2">
        <v>-267574.90999999997</v>
      </c>
      <c r="L114" s="2">
        <v>-229.64013</v>
      </c>
      <c r="M114" s="2">
        <v>-476.24666000000002</v>
      </c>
      <c r="N114" s="2">
        <v>76.230097999999998</v>
      </c>
      <c r="O114" s="2">
        <v>65.146321</v>
      </c>
      <c r="P114" s="2">
        <v>0</v>
      </c>
      <c r="R114" s="2">
        <f t="shared" si="3"/>
        <v>2.7112027755749999</v>
      </c>
      <c r="S114" s="2">
        <f t="shared" si="3"/>
        <v>2.3268286172249998E-3</v>
      </c>
      <c r="T114" s="2">
        <f t="shared" si="3"/>
        <v>4.8255692824500001E-3</v>
      </c>
      <c r="U114" s="2">
        <f t="shared" si="4"/>
        <v>0.26954122857142854</v>
      </c>
    </row>
    <row r="115" spans="2:21" x14ac:dyDescent="0.3">
      <c r="B115" s="2">
        <v>53000</v>
      </c>
      <c r="C115" s="2">
        <v>1.06E-2</v>
      </c>
      <c r="D115" s="2">
        <v>-2.8151167000000001E-3</v>
      </c>
      <c r="E115" s="2">
        <v>0</v>
      </c>
      <c r="F115" s="2">
        <v>1.0282983000000001</v>
      </c>
      <c r="G115" s="2">
        <v>4.7378586</v>
      </c>
      <c r="H115" s="2">
        <v>2.5714891999999998</v>
      </c>
      <c r="I115" s="2">
        <v>2.0069564</v>
      </c>
      <c r="J115" s="2">
        <v>6.2003513000000006E-14</v>
      </c>
      <c r="K115" s="2">
        <v>-270561.2</v>
      </c>
      <c r="L115" s="2">
        <v>-1145.876</v>
      </c>
      <c r="M115" s="2">
        <v>-293.59552000000002</v>
      </c>
      <c r="N115" s="2">
        <v>76.237641999999994</v>
      </c>
      <c r="O115" s="2">
        <v>65.147305000000003</v>
      </c>
      <c r="P115" s="2">
        <v>0</v>
      </c>
      <c r="R115" s="2">
        <f t="shared" si="3"/>
        <v>2.7414613590000001</v>
      </c>
      <c r="S115" s="2">
        <f t="shared" si="3"/>
        <v>1.161058857E-2</v>
      </c>
      <c r="T115" s="2">
        <f t="shared" si="3"/>
        <v>2.9748566064000002E-3</v>
      </c>
      <c r="U115" s="2">
        <f t="shared" si="4"/>
        <v>0.26557704716981134</v>
      </c>
    </row>
    <row r="116" spans="2:21" x14ac:dyDescent="0.3">
      <c r="B116" s="2">
        <v>53500</v>
      </c>
      <c r="C116" s="2">
        <v>1.0699999999999999E-2</v>
      </c>
      <c r="D116" s="2">
        <v>-2.9099729000000001E-3</v>
      </c>
      <c r="E116" s="2">
        <v>0</v>
      </c>
      <c r="F116" s="2">
        <v>1.0188775999999999</v>
      </c>
      <c r="G116" s="2">
        <v>4.8153341999999997</v>
      </c>
      <c r="H116" s="2">
        <v>2.6050230000000001</v>
      </c>
      <c r="I116" s="2">
        <v>2.0523587000000001</v>
      </c>
      <c r="J116" s="2">
        <v>6.0998318000000005E-14</v>
      </c>
      <c r="K116" s="2">
        <v>-272977.8</v>
      </c>
      <c r="L116" s="2">
        <v>1118.6842999999999</v>
      </c>
      <c r="M116" s="2">
        <v>185.78738999999999</v>
      </c>
      <c r="N116" s="2">
        <v>76.245185000000006</v>
      </c>
      <c r="O116" s="2">
        <v>65.141108000000003</v>
      </c>
      <c r="P116" s="2">
        <v>0</v>
      </c>
      <c r="R116" s="2">
        <f t="shared" si="3"/>
        <v>2.7659475584999997</v>
      </c>
      <c r="S116" s="2">
        <f t="shared" si="3"/>
        <v>-1.1335068669749999E-2</v>
      </c>
      <c r="T116" s="2">
        <f t="shared" si="3"/>
        <v>-1.8824907291749998E-3</v>
      </c>
      <c r="U116" s="2">
        <f t="shared" si="4"/>
        <v>0.27196008411214956</v>
      </c>
    </row>
    <row r="117" spans="2:21" x14ac:dyDescent="0.3">
      <c r="B117" s="2">
        <v>54000</v>
      </c>
      <c r="C117" s="2">
        <v>1.0800000000000001E-2</v>
      </c>
      <c r="D117" s="2">
        <v>-2.9037587E-3</v>
      </c>
      <c r="E117" s="2">
        <v>0</v>
      </c>
      <c r="F117" s="2">
        <v>0.97308848000000003</v>
      </c>
      <c r="G117" s="2">
        <v>4.8956230999999999</v>
      </c>
      <c r="H117" s="2">
        <v>2.6514310000000001</v>
      </c>
      <c r="I117" s="2">
        <v>2.0933381</v>
      </c>
      <c r="J117" s="2">
        <v>5.8544281000000001E-14</v>
      </c>
      <c r="K117" s="2">
        <v>-275393.59000000003</v>
      </c>
      <c r="L117" s="2">
        <v>-133.75325000000001</v>
      </c>
      <c r="M117" s="2">
        <v>460.54088999999999</v>
      </c>
      <c r="N117" s="2">
        <v>76.252729000000002</v>
      </c>
      <c r="O117" s="2">
        <v>65.141514000000001</v>
      </c>
      <c r="P117" s="2">
        <v>0</v>
      </c>
      <c r="R117" s="2">
        <f t="shared" si="3"/>
        <v>2.7904255506750002</v>
      </c>
      <c r="S117" s="2">
        <f t="shared" si="3"/>
        <v>1.3552548056250001E-3</v>
      </c>
      <c r="T117" s="2">
        <f t="shared" si="3"/>
        <v>-4.6664305679249996E-3</v>
      </c>
      <c r="U117" s="2">
        <f t="shared" si="4"/>
        <v>0.2688665462962963</v>
      </c>
    </row>
    <row r="118" spans="2:21" x14ac:dyDescent="0.3">
      <c r="B118" s="2">
        <v>54500</v>
      </c>
      <c r="C118" s="2">
        <v>1.09E-2</v>
      </c>
      <c r="D118" s="2">
        <v>-2.9241754999999999E-3</v>
      </c>
      <c r="E118" s="2">
        <v>0</v>
      </c>
      <c r="F118" s="2">
        <v>1.0502545999999999</v>
      </c>
      <c r="G118" s="2">
        <v>4.9845848999999998</v>
      </c>
      <c r="H118" s="2">
        <v>2.6834467000000002</v>
      </c>
      <c r="I118" s="2">
        <v>2.1383214000000001</v>
      </c>
      <c r="J118" s="2">
        <v>5.9673821E-14</v>
      </c>
      <c r="K118" s="2">
        <v>-277672.3</v>
      </c>
      <c r="L118" s="2">
        <v>-609.52454999999998</v>
      </c>
      <c r="M118" s="2">
        <v>283.61147</v>
      </c>
      <c r="N118" s="2">
        <v>76.260272999999998</v>
      </c>
      <c r="O118" s="2">
        <v>65.140180000000001</v>
      </c>
      <c r="P118" s="2">
        <v>0</v>
      </c>
      <c r="R118" s="2">
        <f t="shared" si="3"/>
        <v>2.8135145797500001</v>
      </c>
      <c r="S118" s="2">
        <f t="shared" si="3"/>
        <v>6.1760075028750002E-3</v>
      </c>
      <c r="T118" s="2">
        <f t="shared" si="3"/>
        <v>-2.8736932197749999E-3</v>
      </c>
      <c r="U118" s="2">
        <f t="shared" si="4"/>
        <v>0.26827298165137614</v>
      </c>
    </row>
    <row r="119" spans="2:21" x14ac:dyDescent="0.3">
      <c r="B119" s="2">
        <v>55000</v>
      </c>
      <c r="C119" s="2">
        <v>1.0999999999999999E-2</v>
      </c>
      <c r="D119" s="2">
        <v>-2.9827285000000002E-3</v>
      </c>
      <c r="E119" s="2">
        <v>0</v>
      </c>
      <c r="F119" s="2">
        <v>0.97891463000000001</v>
      </c>
      <c r="G119" s="2">
        <v>5.0706236999999996</v>
      </c>
      <c r="H119" s="2">
        <v>2.7415329000000002</v>
      </c>
      <c r="I119" s="2">
        <v>2.1773335</v>
      </c>
      <c r="J119" s="2">
        <v>5.9843019000000006E-14</v>
      </c>
      <c r="K119" s="2">
        <v>-280260.96999999997</v>
      </c>
      <c r="L119" s="2">
        <v>604.78868</v>
      </c>
      <c r="M119" s="2">
        <v>-168.18084999999999</v>
      </c>
      <c r="N119" s="2">
        <v>76.267816999999994</v>
      </c>
      <c r="O119" s="2">
        <v>65.136354999999995</v>
      </c>
      <c r="P119" s="2">
        <v>0</v>
      </c>
      <c r="R119" s="2">
        <f t="shared" si="3"/>
        <v>2.8397442785249996</v>
      </c>
      <c r="S119" s="2">
        <f t="shared" si="3"/>
        <v>-6.1280213001000004E-3</v>
      </c>
      <c r="T119" s="2">
        <f t="shared" si="3"/>
        <v>1.7040924626249999E-3</v>
      </c>
      <c r="U119" s="2">
        <f t="shared" si="4"/>
        <v>0.27115713636363642</v>
      </c>
    </row>
    <row r="120" spans="2:21" x14ac:dyDescent="0.3">
      <c r="B120" s="2">
        <v>55500</v>
      </c>
      <c r="C120" s="2">
        <v>1.11E-2</v>
      </c>
      <c r="D120" s="2">
        <v>-2.9743870000000002E-3</v>
      </c>
      <c r="E120" s="2">
        <v>0</v>
      </c>
      <c r="F120" s="2">
        <v>1.0010288000000001</v>
      </c>
      <c r="G120" s="2">
        <v>5.1555616999999998</v>
      </c>
      <c r="H120" s="2">
        <v>2.8056190999999999</v>
      </c>
      <c r="I120" s="2">
        <v>2.1947570999999999</v>
      </c>
      <c r="J120" s="2">
        <v>6.1803006999999994E-14</v>
      </c>
      <c r="K120" s="2">
        <v>-283187</v>
      </c>
      <c r="L120" s="2">
        <v>-148.85299000000001</v>
      </c>
      <c r="M120" s="2">
        <v>-457.88310999999999</v>
      </c>
      <c r="N120" s="2">
        <v>76.275361000000004</v>
      </c>
      <c r="O120" s="2">
        <v>65.136899999999997</v>
      </c>
      <c r="P120" s="2">
        <v>0</v>
      </c>
      <c r="R120" s="2">
        <f t="shared" si="3"/>
        <v>2.8693922774999998</v>
      </c>
      <c r="S120" s="2">
        <f t="shared" si="3"/>
        <v>1.5082529211750001E-3</v>
      </c>
      <c r="T120" s="2">
        <f t="shared" si="3"/>
        <v>4.6395006120749996E-3</v>
      </c>
      <c r="U120" s="2">
        <f t="shared" si="4"/>
        <v>0.26796279279279278</v>
      </c>
    </row>
    <row r="121" spans="2:21" x14ac:dyDescent="0.3">
      <c r="B121" s="2">
        <v>56000</v>
      </c>
      <c r="C121" s="2">
        <v>1.12E-2</v>
      </c>
      <c r="D121" s="2">
        <v>-3.0033975999999999E-3</v>
      </c>
      <c r="E121" s="2">
        <v>0</v>
      </c>
      <c r="F121" s="2">
        <v>1.0189177</v>
      </c>
      <c r="G121" s="2">
        <v>5.2386359999999996</v>
      </c>
      <c r="H121" s="2">
        <v>2.8422524999999998</v>
      </c>
      <c r="I121" s="2">
        <v>2.2384248000000002</v>
      </c>
      <c r="J121" s="2">
        <v>5.9694250000000001E-14</v>
      </c>
      <c r="K121" s="2">
        <v>-285516.27</v>
      </c>
      <c r="L121" s="2">
        <v>-265.13785000000001</v>
      </c>
      <c r="M121" s="2">
        <v>-346.99934000000002</v>
      </c>
      <c r="N121" s="2">
        <v>76.282904000000002</v>
      </c>
      <c r="O121" s="2">
        <v>65.135005000000007</v>
      </c>
      <c r="P121" s="2">
        <v>0</v>
      </c>
      <c r="R121" s="2">
        <f t="shared" si="3"/>
        <v>2.8929936057750001</v>
      </c>
      <c r="S121" s="2">
        <f t="shared" si="3"/>
        <v>2.6865092651250002E-3</v>
      </c>
      <c r="T121" s="2">
        <f t="shared" si="3"/>
        <v>3.5159708125500001E-3</v>
      </c>
      <c r="U121" s="2">
        <f t="shared" si="4"/>
        <v>0.26816049999999997</v>
      </c>
    </row>
    <row r="122" spans="2:21" x14ac:dyDescent="0.3">
      <c r="B122" s="2">
        <v>56500</v>
      </c>
      <c r="C122" s="2">
        <v>1.1299999999999999E-2</v>
      </c>
      <c r="D122" s="2">
        <v>-3.0596081000000002E-3</v>
      </c>
      <c r="E122" s="2">
        <v>0</v>
      </c>
      <c r="F122" s="2">
        <v>0.96470193999999998</v>
      </c>
      <c r="G122" s="2">
        <v>5.3320467999999996</v>
      </c>
      <c r="H122" s="2">
        <v>2.8831994999999999</v>
      </c>
      <c r="I122" s="2">
        <v>2.2992935000000001</v>
      </c>
      <c r="J122" s="2">
        <v>6.0760063999999999E-14</v>
      </c>
      <c r="K122" s="2">
        <v>-287639.27</v>
      </c>
      <c r="L122" s="2">
        <v>348.18583000000001</v>
      </c>
      <c r="M122" s="2">
        <v>33.566487000000002</v>
      </c>
      <c r="N122" s="2">
        <v>76.290447999999998</v>
      </c>
      <c r="O122" s="2">
        <v>65.131332</v>
      </c>
      <c r="P122" s="2">
        <v>0</v>
      </c>
      <c r="R122" s="2">
        <f t="shared" si="3"/>
        <v>2.9145049032750001</v>
      </c>
      <c r="S122" s="2">
        <f t="shared" si="3"/>
        <v>-3.5279929224750002E-3</v>
      </c>
      <c r="T122" s="2">
        <f t="shared" si="3"/>
        <v>-3.4011242952750005E-4</v>
      </c>
      <c r="U122" s="2">
        <f t="shared" si="4"/>
        <v>0.270761778761062</v>
      </c>
    </row>
    <row r="123" spans="2:21" x14ac:dyDescent="0.3">
      <c r="B123" s="2">
        <v>57000</v>
      </c>
      <c r="C123" s="2">
        <v>1.14E-2</v>
      </c>
      <c r="D123" s="2">
        <v>-3.0641551999999999E-3</v>
      </c>
      <c r="E123" s="2">
        <v>0</v>
      </c>
      <c r="F123" s="2">
        <v>1.0574435</v>
      </c>
      <c r="G123" s="2">
        <v>5.4253409000000001</v>
      </c>
      <c r="H123" s="2">
        <v>2.9408896000000002</v>
      </c>
      <c r="I123" s="2">
        <v>2.3205201</v>
      </c>
      <c r="J123" s="2">
        <v>5.9097615999999996E-14</v>
      </c>
      <c r="K123" s="2">
        <v>-290427.32</v>
      </c>
      <c r="L123" s="2">
        <v>-95.434917999999996</v>
      </c>
      <c r="M123" s="2">
        <v>401.96633000000003</v>
      </c>
      <c r="N123" s="2">
        <v>76.297991999999994</v>
      </c>
      <c r="O123" s="2">
        <v>65.131034999999997</v>
      </c>
      <c r="P123" s="2">
        <v>0</v>
      </c>
      <c r="R123" s="2">
        <f t="shared" si="3"/>
        <v>2.9427548199000002</v>
      </c>
      <c r="S123" s="2">
        <f t="shared" si="3"/>
        <v>9.6699430663499994E-4</v>
      </c>
      <c r="T123" s="2">
        <f t="shared" si="3"/>
        <v>-4.072923838725E-3</v>
      </c>
      <c r="U123" s="2">
        <f t="shared" si="4"/>
        <v>0.26878554385964909</v>
      </c>
    </row>
    <row r="124" spans="2:21" x14ac:dyDescent="0.3">
      <c r="B124" s="2">
        <v>57500</v>
      </c>
      <c r="C124" s="2">
        <v>1.15E-2</v>
      </c>
      <c r="D124" s="2">
        <v>-3.0779625999999998E-3</v>
      </c>
      <c r="E124" s="2">
        <v>0</v>
      </c>
      <c r="F124" s="2">
        <v>1.0020392</v>
      </c>
      <c r="G124" s="2">
        <v>5.5102168999999996</v>
      </c>
      <c r="H124" s="2">
        <v>3.0075322</v>
      </c>
      <c r="I124" s="2">
        <v>2.3473424999999999</v>
      </c>
      <c r="J124" s="2">
        <v>5.7700510999999999E-14</v>
      </c>
      <c r="K124" s="2">
        <v>-293259.64</v>
      </c>
      <c r="L124" s="2">
        <v>-177.07597999999999</v>
      </c>
      <c r="M124" s="2">
        <v>469.17018000000002</v>
      </c>
      <c r="N124" s="2">
        <v>76.305536000000004</v>
      </c>
      <c r="O124" s="2">
        <v>65.130133000000001</v>
      </c>
      <c r="P124" s="2">
        <v>0</v>
      </c>
      <c r="R124" s="2">
        <f t="shared" si="3"/>
        <v>2.9714533023</v>
      </c>
      <c r="S124" s="2">
        <f t="shared" si="3"/>
        <v>1.7942223673499999E-3</v>
      </c>
      <c r="T124" s="2">
        <f t="shared" si="3"/>
        <v>-4.7538668488500005E-3</v>
      </c>
      <c r="U124" s="2">
        <f t="shared" si="4"/>
        <v>0.26764892173913041</v>
      </c>
    </row>
    <row r="125" spans="2:21" x14ac:dyDescent="0.3">
      <c r="B125" s="2">
        <v>58000</v>
      </c>
      <c r="C125" s="2">
        <v>1.1599999999999999E-2</v>
      </c>
      <c r="D125" s="2">
        <v>-3.1251342E-3</v>
      </c>
      <c r="E125" s="2">
        <v>0</v>
      </c>
      <c r="F125" s="2">
        <v>0.97139982000000002</v>
      </c>
      <c r="G125" s="2">
        <v>5.5976998</v>
      </c>
      <c r="H125" s="2">
        <v>3.0475679000000002</v>
      </c>
      <c r="I125" s="2">
        <v>2.3995397000000001</v>
      </c>
      <c r="J125" s="2">
        <v>6.0774274999999997E-14</v>
      </c>
      <c r="K125" s="2">
        <v>-295456.15000000002</v>
      </c>
      <c r="L125" s="2">
        <v>205.64241999999999</v>
      </c>
      <c r="M125" s="2">
        <v>218.46120999999999</v>
      </c>
      <c r="N125" s="2">
        <v>76.313079999999999</v>
      </c>
      <c r="O125" s="2">
        <v>65.127050999999994</v>
      </c>
      <c r="P125" s="2">
        <v>0</v>
      </c>
      <c r="R125" s="2">
        <f t="shared" si="3"/>
        <v>2.9937094398750004</v>
      </c>
      <c r="S125" s="2">
        <f t="shared" si="3"/>
        <v>-2.0836718206499998E-3</v>
      </c>
      <c r="T125" s="2">
        <f t="shared" si="3"/>
        <v>-2.2135582103250001E-3</v>
      </c>
      <c r="U125" s="2">
        <f t="shared" si="4"/>
        <v>0.26940812068965519</v>
      </c>
    </row>
    <row r="126" spans="2:21" x14ac:dyDescent="0.3">
      <c r="B126" s="2">
        <v>58500</v>
      </c>
      <c r="C126" s="2">
        <v>1.17E-2</v>
      </c>
      <c r="D126" s="2">
        <v>-3.1505629999999999E-3</v>
      </c>
      <c r="E126" s="2">
        <v>0</v>
      </c>
      <c r="F126" s="2">
        <v>1.0529428999999999</v>
      </c>
      <c r="G126" s="2">
        <v>5.6950212999999996</v>
      </c>
      <c r="H126" s="2">
        <v>3.0812149999999998</v>
      </c>
      <c r="I126" s="2">
        <v>2.4505726999999999</v>
      </c>
      <c r="J126" s="2">
        <v>6.1559646000000005E-14</v>
      </c>
      <c r="K126" s="2">
        <v>-297746.09999999998</v>
      </c>
      <c r="L126" s="2">
        <v>-81.717172000000005</v>
      </c>
      <c r="M126" s="2">
        <v>-170.26889</v>
      </c>
      <c r="N126" s="2">
        <v>76.320622999999998</v>
      </c>
      <c r="O126" s="2">
        <v>65.125389999999996</v>
      </c>
      <c r="P126" s="2">
        <v>0</v>
      </c>
      <c r="R126" s="2">
        <f t="shared" si="3"/>
        <v>3.0169123582499999</v>
      </c>
      <c r="S126" s="2">
        <f t="shared" si="3"/>
        <v>8.2799924529000006E-4</v>
      </c>
      <c r="T126" s="2">
        <f t="shared" si="3"/>
        <v>1.725249527925E-3</v>
      </c>
      <c r="U126" s="2">
        <f t="shared" si="4"/>
        <v>0.26927888888888885</v>
      </c>
    </row>
    <row r="127" spans="2:21" x14ac:dyDescent="0.3">
      <c r="B127" s="2">
        <v>59000</v>
      </c>
      <c r="C127" s="2">
        <v>1.18E-2</v>
      </c>
      <c r="D127" s="2">
        <v>-3.1676370000000001E-3</v>
      </c>
      <c r="E127" s="2">
        <v>0</v>
      </c>
      <c r="F127" s="2">
        <v>0.93219874000000003</v>
      </c>
      <c r="G127" s="2">
        <v>5.7824545000000001</v>
      </c>
      <c r="H127" s="2">
        <v>3.1594850999999999</v>
      </c>
      <c r="I127" s="2">
        <v>2.4784543000000001</v>
      </c>
      <c r="J127" s="2">
        <v>5.8934635E-14</v>
      </c>
      <c r="K127" s="2">
        <v>-300564.02</v>
      </c>
      <c r="L127" s="2">
        <v>-43.934381999999999</v>
      </c>
      <c r="M127" s="2">
        <v>-445.18898999999999</v>
      </c>
      <c r="N127" s="2">
        <v>76.328166999999993</v>
      </c>
      <c r="O127" s="2">
        <v>65.124274999999997</v>
      </c>
      <c r="P127" s="2">
        <v>0</v>
      </c>
      <c r="R127" s="2">
        <f t="shared" si="3"/>
        <v>3.0454649326500003</v>
      </c>
      <c r="S127" s="2">
        <f t="shared" si="3"/>
        <v>4.4516512561499998E-4</v>
      </c>
      <c r="T127" s="2">
        <f t="shared" si="3"/>
        <v>4.5108774411750001E-3</v>
      </c>
      <c r="U127" s="2">
        <f t="shared" si="4"/>
        <v>0.26844381355932206</v>
      </c>
    </row>
    <row r="128" spans="2:21" x14ac:dyDescent="0.3">
      <c r="B128" s="2">
        <v>59500</v>
      </c>
      <c r="C128" s="2">
        <v>1.1900000000000001E-2</v>
      </c>
      <c r="D128" s="2">
        <v>-3.1958237999999998E-3</v>
      </c>
      <c r="E128" s="2">
        <v>0</v>
      </c>
      <c r="F128" s="2">
        <v>0.98555148999999997</v>
      </c>
      <c r="G128" s="2">
        <v>5.8700609999999998</v>
      </c>
      <c r="H128" s="2">
        <v>3.2054604000000002</v>
      </c>
      <c r="I128" s="2">
        <v>2.5118144999999998</v>
      </c>
      <c r="J128" s="2">
        <v>6.1285643000000005E-14</v>
      </c>
      <c r="K128" s="2">
        <v>-303229.51</v>
      </c>
      <c r="L128" s="2">
        <v>178.27064999999999</v>
      </c>
      <c r="M128" s="2">
        <v>-462.74466999999999</v>
      </c>
      <c r="N128" s="2">
        <v>76.335711000000003</v>
      </c>
      <c r="O128" s="2">
        <v>65.122433000000001</v>
      </c>
      <c r="P128" s="2">
        <v>0</v>
      </c>
      <c r="R128" s="2">
        <f t="shared" si="3"/>
        <v>3.072473010075</v>
      </c>
      <c r="S128" s="2">
        <f t="shared" si="3"/>
        <v>-1.8063273611249998E-3</v>
      </c>
      <c r="T128" s="2">
        <f t="shared" si="3"/>
        <v>4.6887603687749994E-3</v>
      </c>
      <c r="U128" s="2">
        <f t="shared" si="4"/>
        <v>0.26855662184873946</v>
      </c>
    </row>
    <row r="129" spans="2:21" x14ac:dyDescent="0.3">
      <c r="B129" s="2">
        <v>60000</v>
      </c>
      <c r="C129" s="2">
        <v>1.2E-2</v>
      </c>
      <c r="D129" s="2">
        <v>-3.2167789999999999E-3</v>
      </c>
      <c r="E129" s="2">
        <v>0</v>
      </c>
      <c r="F129" s="2">
        <v>1.0133013</v>
      </c>
      <c r="G129" s="2">
        <v>5.9656452</v>
      </c>
      <c r="H129" s="2">
        <v>3.2441914999999999</v>
      </c>
      <c r="I129" s="2">
        <v>2.5643657000000002</v>
      </c>
      <c r="J129" s="2">
        <v>6.0105919999999998E-14</v>
      </c>
      <c r="K129" s="2">
        <v>-305427.13</v>
      </c>
      <c r="L129" s="2">
        <v>-351.44666000000001</v>
      </c>
      <c r="M129" s="2">
        <v>-225.84657999999999</v>
      </c>
      <c r="N129" s="2">
        <v>76.343254999999999</v>
      </c>
      <c r="O129" s="2">
        <v>65.121064000000004</v>
      </c>
      <c r="P129" s="2">
        <v>0</v>
      </c>
      <c r="R129" s="2">
        <f t="shared" si="3"/>
        <v>3.0947403947250001</v>
      </c>
      <c r="S129" s="2">
        <f t="shared" si="3"/>
        <v>3.5610332824499999E-3</v>
      </c>
      <c r="T129" s="2">
        <f t="shared" si="3"/>
        <v>2.28839047185E-3</v>
      </c>
      <c r="U129" s="2">
        <f t="shared" si="4"/>
        <v>0.26806491666666665</v>
      </c>
    </row>
    <row r="130" spans="2:21" x14ac:dyDescent="0.3">
      <c r="B130" s="2">
        <v>60500</v>
      </c>
      <c r="C130" s="2">
        <v>1.21E-2</v>
      </c>
      <c r="D130" s="2">
        <v>-3.2649112999999998E-3</v>
      </c>
      <c r="E130" s="2">
        <v>0</v>
      </c>
      <c r="F130" s="2">
        <v>0.99956511000000003</v>
      </c>
      <c r="G130" s="2">
        <v>6.0650687000000003</v>
      </c>
      <c r="H130" s="2">
        <v>3.2998707999999999</v>
      </c>
      <c r="I130" s="2">
        <v>2.6102392999999999</v>
      </c>
      <c r="J130" s="2">
        <v>6.1939787000000006E-14</v>
      </c>
      <c r="K130" s="2">
        <v>-307803.42</v>
      </c>
      <c r="L130" s="2">
        <v>282.5206</v>
      </c>
      <c r="M130" s="2">
        <v>108.78636</v>
      </c>
      <c r="N130" s="2">
        <v>76.350798999999995</v>
      </c>
      <c r="O130" s="2">
        <v>65.117919999999998</v>
      </c>
      <c r="P130" s="2">
        <v>0</v>
      </c>
      <c r="R130" s="2">
        <f t="shared" si="3"/>
        <v>3.1188181531499999</v>
      </c>
      <c r="S130" s="2">
        <f t="shared" si="3"/>
        <v>-2.8626399794999999E-3</v>
      </c>
      <c r="T130" s="2">
        <f t="shared" si="3"/>
        <v>-1.1022777927000001E-3</v>
      </c>
      <c r="U130" s="2">
        <f t="shared" si="4"/>
        <v>0.26982738016528923</v>
      </c>
    </row>
    <row r="131" spans="2:21" x14ac:dyDescent="0.3">
      <c r="B131" s="2">
        <v>61000</v>
      </c>
      <c r="C131" s="2">
        <v>1.2200000000000001E-2</v>
      </c>
      <c r="D131" s="2">
        <v>-3.2779761000000002E-3</v>
      </c>
      <c r="E131" s="2">
        <v>0</v>
      </c>
      <c r="F131" s="2">
        <v>1.0056955999999999</v>
      </c>
      <c r="G131" s="2">
        <v>6.1606683000000002</v>
      </c>
      <c r="H131" s="2">
        <v>3.3674328999999998</v>
      </c>
      <c r="I131" s="2">
        <v>2.6373264999999999</v>
      </c>
      <c r="J131" s="2">
        <v>5.8733240000000003E-14</v>
      </c>
      <c r="K131" s="2">
        <v>-310731.05</v>
      </c>
      <c r="L131" s="2">
        <v>282.74250999999998</v>
      </c>
      <c r="M131" s="2">
        <v>378.56344999999999</v>
      </c>
      <c r="N131" s="2">
        <v>76.358341999999993</v>
      </c>
      <c r="O131" s="2">
        <v>65.117065999999994</v>
      </c>
      <c r="P131" s="2">
        <v>0</v>
      </c>
      <c r="R131" s="2">
        <f t="shared" si="3"/>
        <v>3.1484823641249999</v>
      </c>
      <c r="S131" s="2">
        <f t="shared" si="3"/>
        <v>-2.8648884825749998E-3</v>
      </c>
      <c r="T131" s="2">
        <f t="shared" si="3"/>
        <v>-3.8357941571250001E-3</v>
      </c>
      <c r="U131" s="2">
        <f t="shared" si="4"/>
        <v>0.26868656557377046</v>
      </c>
    </row>
    <row r="132" spans="2:21" x14ac:dyDescent="0.3">
      <c r="B132" s="2">
        <v>61500</v>
      </c>
      <c r="C132" s="2">
        <v>1.23E-2</v>
      </c>
      <c r="D132" s="2">
        <v>-3.2661779000000002E-3</v>
      </c>
      <c r="E132" s="2">
        <v>0</v>
      </c>
      <c r="F132" s="2">
        <v>1.0105128000000001</v>
      </c>
      <c r="G132" s="2">
        <v>6.2475924999999997</v>
      </c>
      <c r="H132" s="2">
        <v>3.4187530000000002</v>
      </c>
      <c r="I132" s="2">
        <v>2.6721837000000002</v>
      </c>
      <c r="J132" s="2">
        <v>6.0311755999999997E-14</v>
      </c>
      <c r="K132" s="2">
        <v>-313268.32</v>
      </c>
      <c r="L132" s="2">
        <v>-1013.7255</v>
      </c>
      <c r="M132" s="2">
        <v>459.76004999999998</v>
      </c>
      <c r="N132" s="2">
        <v>76.365886000000003</v>
      </c>
      <c r="O132" s="2">
        <v>65.117836999999994</v>
      </c>
      <c r="P132" s="2">
        <v>0</v>
      </c>
      <c r="R132" s="2">
        <f t="shared" si="3"/>
        <v>3.1741912524</v>
      </c>
      <c r="S132" s="2">
        <f t="shared" si="3"/>
        <v>1.0271573628750001E-2</v>
      </c>
      <c r="T132" s="2">
        <f t="shared" si="3"/>
        <v>-4.6585187066249993E-3</v>
      </c>
      <c r="U132" s="2">
        <f t="shared" si="4"/>
        <v>0.265542918699187</v>
      </c>
    </row>
    <row r="133" spans="2:21" x14ac:dyDescent="0.3">
      <c r="B133" s="2">
        <v>62000</v>
      </c>
      <c r="C133" s="2">
        <v>1.24E-2</v>
      </c>
      <c r="D133" s="2">
        <v>-3.3769805000000001E-3</v>
      </c>
      <c r="E133" s="2">
        <v>0</v>
      </c>
      <c r="F133" s="2">
        <v>1.0006994</v>
      </c>
      <c r="G133" s="2">
        <v>6.3431825000000002</v>
      </c>
      <c r="H133" s="2">
        <v>3.4454245999999999</v>
      </c>
      <c r="I133" s="2">
        <v>2.7426233999999998</v>
      </c>
      <c r="J133" s="2">
        <v>6.1776140000000004E-14</v>
      </c>
      <c r="K133" s="2">
        <v>-315129.05</v>
      </c>
      <c r="L133" s="2">
        <v>1219.0539000000001</v>
      </c>
      <c r="M133" s="2">
        <v>353.20891</v>
      </c>
      <c r="N133" s="2">
        <v>76.373429999999999</v>
      </c>
      <c r="O133" s="2">
        <v>65.110597999999996</v>
      </c>
      <c r="P133" s="2">
        <v>0</v>
      </c>
      <c r="R133" s="2">
        <f t="shared" si="3"/>
        <v>3.1930450991249999</v>
      </c>
      <c r="S133" s="2">
        <f t="shared" si="3"/>
        <v>-1.235206364175E-2</v>
      </c>
      <c r="T133" s="2">
        <f t="shared" si="3"/>
        <v>-3.5788892805749999E-3</v>
      </c>
      <c r="U133" s="2">
        <f t="shared" si="4"/>
        <v>0.27233713709677421</v>
      </c>
    </row>
    <row r="134" spans="2:21" x14ac:dyDescent="0.3">
      <c r="B134" s="2">
        <v>62500</v>
      </c>
      <c r="C134" s="2">
        <v>1.2500000000000001E-2</v>
      </c>
      <c r="D134" s="2">
        <v>-3.3367063000000001E-3</v>
      </c>
      <c r="E134" s="2">
        <v>0</v>
      </c>
      <c r="F134" s="2">
        <v>0.99049271000000005</v>
      </c>
      <c r="G134" s="2">
        <v>6.4467933000000004</v>
      </c>
      <c r="H134" s="2">
        <v>3.527523</v>
      </c>
      <c r="I134" s="2">
        <v>2.7657181</v>
      </c>
      <c r="J134" s="2">
        <v>5.7760019000000001E-14</v>
      </c>
      <c r="K134" s="2">
        <v>-318189.32</v>
      </c>
      <c r="L134" s="2">
        <v>-481.35834999999997</v>
      </c>
      <c r="M134" s="2">
        <v>101.47538</v>
      </c>
      <c r="N134" s="2">
        <v>76.380973999999995</v>
      </c>
      <c r="O134" s="2">
        <v>65.113229000000004</v>
      </c>
      <c r="P134" s="2">
        <v>0</v>
      </c>
      <c r="R134" s="2">
        <f t="shared" si="3"/>
        <v>3.2240532849000001</v>
      </c>
      <c r="S134" s="2">
        <f t="shared" si="3"/>
        <v>4.8773634813749998E-3</v>
      </c>
      <c r="T134" s="2">
        <f t="shared" si="3"/>
        <v>-1.02819928785E-3</v>
      </c>
      <c r="U134" s="2">
        <f t="shared" si="4"/>
        <v>0.26693650400000002</v>
      </c>
    </row>
    <row r="135" spans="2:21" x14ac:dyDescent="0.3">
      <c r="B135" s="2">
        <v>63000</v>
      </c>
      <c r="C135" s="2">
        <v>1.26E-2</v>
      </c>
      <c r="D135" s="2">
        <v>-3.3438460000000001E-3</v>
      </c>
      <c r="E135" s="2">
        <v>0</v>
      </c>
      <c r="F135" s="2">
        <v>1.0216730999999999</v>
      </c>
      <c r="G135" s="2">
        <v>6.5518615000000002</v>
      </c>
      <c r="H135" s="2">
        <v>3.5993210000000002</v>
      </c>
      <c r="I135" s="2">
        <v>2.7941546000000002</v>
      </c>
      <c r="J135" s="2">
        <v>5.8967942000000005E-14</v>
      </c>
      <c r="K135" s="2">
        <v>-320928.46999999997</v>
      </c>
      <c r="L135" s="2">
        <v>-863.55803000000003</v>
      </c>
      <c r="M135" s="2">
        <v>-173.94147000000001</v>
      </c>
      <c r="N135" s="2">
        <v>76.388518000000005</v>
      </c>
      <c r="O135" s="2">
        <v>65.112763000000001</v>
      </c>
      <c r="P135" s="2">
        <v>0</v>
      </c>
      <c r="R135" s="2">
        <f t="shared" si="3"/>
        <v>3.2518077222749997</v>
      </c>
      <c r="S135" s="2">
        <f t="shared" si="3"/>
        <v>8.7500017389749996E-3</v>
      </c>
      <c r="T135" s="2">
        <f t="shared" si="3"/>
        <v>1.7624619447750001E-3</v>
      </c>
      <c r="U135" s="2">
        <f t="shared" si="4"/>
        <v>0.26538460317460316</v>
      </c>
    </row>
    <row r="136" spans="2:21" x14ac:dyDescent="0.3">
      <c r="B136" s="2">
        <v>63500</v>
      </c>
      <c r="C136" s="2">
        <v>1.2699999999999999E-2</v>
      </c>
      <c r="D136" s="2">
        <v>-3.4737703999999999E-3</v>
      </c>
      <c r="E136" s="2">
        <v>0</v>
      </c>
      <c r="F136" s="2">
        <v>1.0193615</v>
      </c>
      <c r="G136" s="2">
        <v>6.6467362999999997</v>
      </c>
      <c r="H136" s="2">
        <v>3.6094225999999998</v>
      </c>
      <c r="I136" s="2">
        <v>2.8792862000000001</v>
      </c>
      <c r="J136" s="2">
        <v>5.9538373999999994E-14</v>
      </c>
      <c r="K136" s="2">
        <v>-322631.96000000002</v>
      </c>
      <c r="L136" s="2">
        <v>1836.0474999999999</v>
      </c>
      <c r="M136" s="2">
        <v>-385.85415999999998</v>
      </c>
      <c r="N136" s="2">
        <v>76.396061000000003</v>
      </c>
      <c r="O136" s="2">
        <v>65.104274000000004</v>
      </c>
      <c r="P136" s="2">
        <v>0</v>
      </c>
      <c r="R136" s="2">
        <f t="shared" si="3"/>
        <v>3.2690683347</v>
      </c>
      <c r="S136" s="2">
        <f t="shared" si="3"/>
        <v>-1.8603751293749998E-2</v>
      </c>
      <c r="T136" s="2">
        <f t="shared" si="3"/>
        <v>3.9096672761999999E-3</v>
      </c>
      <c r="U136" s="2">
        <f t="shared" si="4"/>
        <v>0.27352522834645671</v>
      </c>
    </row>
    <row r="137" spans="2:21" x14ac:dyDescent="0.3">
      <c r="B137" s="2">
        <v>64000</v>
      </c>
      <c r="C137" s="2">
        <v>1.2800000000000001E-2</v>
      </c>
      <c r="D137" s="2">
        <v>-3.3810074999999998E-3</v>
      </c>
      <c r="E137" s="2">
        <v>0</v>
      </c>
      <c r="F137" s="2">
        <v>1.0005188</v>
      </c>
      <c r="G137" s="2">
        <v>6.7435858</v>
      </c>
      <c r="H137" s="2">
        <v>3.6963460000000001</v>
      </c>
      <c r="I137" s="2">
        <v>2.8921334000000001</v>
      </c>
      <c r="J137" s="2">
        <v>5.9858784999999995E-14</v>
      </c>
      <c r="K137" s="2">
        <v>-325707.38</v>
      </c>
      <c r="L137" s="2">
        <v>-1663.8298</v>
      </c>
      <c r="M137" s="2">
        <v>-477.51123000000001</v>
      </c>
      <c r="N137" s="2">
        <v>76.403604999999999</v>
      </c>
      <c r="O137" s="2">
        <v>65.110335000000006</v>
      </c>
      <c r="P137" s="2">
        <v>0</v>
      </c>
      <c r="R137" s="2">
        <f t="shared" si="3"/>
        <v>3.3002300278500001</v>
      </c>
      <c r="S137" s="2">
        <f t="shared" si="3"/>
        <v>1.6858755448500001E-2</v>
      </c>
      <c r="T137" s="2">
        <f t="shared" si="3"/>
        <v>4.8383825379750001E-3</v>
      </c>
      <c r="U137" s="2">
        <f t="shared" si="4"/>
        <v>0.26414121093749998</v>
      </c>
    </row>
    <row r="138" spans="2:21" x14ac:dyDescent="0.3">
      <c r="B138" s="2">
        <v>64500</v>
      </c>
      <c r="C138" s="2">
        <v>1.29E-2</v>
      </c>
      <c r="D138" s="2">
        <v>-3.4679590000000001E-3</v>
      </c>
      <c r="E138" s="2">
        <v>0</v>
      </c>
      <c r="F138" s="2">
        <v>0.91616534999999999</v>
      </c>
      <c r="G138" s="2">
        <v>6.8287183999999996</v>
      </c>
      <c r="H138" s="2">
        <v>3.7561257000000001</v>
      </c>
      <c r="I138" s="2">
        <v>2.9305633000000002</v>
      </c>
      <c r="J138" s="2">
        <v>6.0242921999999995E-14</v>
      </c>
      <c r="K138" s="2">
        <v>-328293.90000000002</v>
      </c>
      <c r="L138" s="2">
        <v>547.64032999999995</v>
      </c>
      <c r="M138" s="2">
        <v>-423.93878000000001</v>
      </c>
      <c r="N138" s="2">
        <v>76.411148999999995</v>
      </c>
      <c r="O138" s="2">
        <v>65.104653999999996</v>
      </c>
      <c r="P138" s="2">
        <v>0</v>
      </c>
      <c r="R138" s="2">
        <f t="shared" ref="R138:T201" si="5">-K138*$B$3</f>
        <v>3.3264379417500001</v>
      </c>
      <c r="S138" s="2">
        <f t="shared" si="5"/>
        <v>-5.5489656437249998E-3</v>
      </c>
      <c r="T138" s="2">
        <f t="shared" si="5"/>
        <v>4.2955596883500003E-3</v>
      </c>
      <c r="U138" s="2">
        <f t="shared" ref="U138:U201" si="6">-D138/C138</f>
        <v>0.26883403100775194</v>
      </c>
    </row>
    <row r="139" spans="2:21" x14ac:dyDescent="0.3">
      <c r="B139" s="2">
        <v>65000</v>
      </c>
      <c r="C139" s="2">
        <v>1.2999999999999999E-2</v>
      </c>
      <c r="D139" s="2">
        <v>-3.4986634000000001E-3</v>
      </c>
      <c r="E139" s="2">
        <v>0</v>
      </c>
      <c r="F139" s="2">
        <v>1.0243905</v>
      </c>
      <c r="G139" s="2">
        <v>6.9483394000000001</v>
      </c>
      <c r="H139" s="2">
        <v>3.794432</v>
      </c>
      <c r="I139" s="2">
        <v>2.9951002999999998</v>
      </c>
      <c r="J139" s="2">
        <v>5.8664851000000003E-14</v>
      </c>
      <c r="K139" s="2">
        <v>-330413.49</v>
      </c>
      <c r="L139" s="2">
        <v>280.41546</v>
      </c>
      <c r="M139" s="2">
        <v>-284.19891000000001</v>
      </c>
      <c r="N139" s="2">
        <v>76.418693000000005</v>
      </c>
      <c r="O139" s="2">
        <v>65.102648000000002</v>
      </c>
      <c r="P139" s="2">
        <v>0</v>
      </c>
      <c r="R139" s="2">
        <f t="shared" si="5"/>
        <v>3.3479146874249999</v>
      </c>
      <c r="S139" s="2">
        <f t="shared" si="5"/>
        <v>-2.8413096484500001E-3</v>
      </c>
      <c r="T139" s="2">
        <f t="shared" si="5"/>
        <v>2.8796454555750002E-3</v>
      </c>
      <c r="U139" s="2">
        <f t="shared" si="6"/>
        <v>0.26912795384615384</v>
      </c>
    </row>
    <row r="140" spans="2:21" x14ac:dyDescent="0.3">
      <c r="B140" s="2">
        <v>65500</v>
      </c>
      <c r="C140" s="2">
        <v>1.3100000000000001E-2</v>
      </c>
      <c r="D140" s="2">
        <v>-3.5027090000000001E-3</v>
      </c>
      <c r="E140" s="2">
        <v>0</v>
      </c>
      <c r="F140" s="2">
        <v>1.0034242</v>
      </c>
      <c r="G140" s="2">
        <v>7.0490795999999998</v>
      </c>
      <c r="H140" s="2">
        <v>3.8518471000000001</v>
      </c>
      <c r="I140" s="2">
        <v>3.0416756</v>
      </c>
      <c r="J140" s="2">
        <v>6.1755711999999996E-14</v>
      </c>
      <c r="K140" s="2">
        <v>-332960.05</v>
      </c>
      <c r="L140" s="2">
        <v>-451.63796000000002</v>
      </c>
      <c r="M140" s="2">
        <v>-80.629143999999997</v>
      </c>
      <c r="N140" s="2">
        <v>76.426237</v>
      </c>
      <c r="O140" s="2">
        <v>65.102384000000001</v>
      </c>
      <c r="P140" s="2">
        <v>0</v>
      </c>
      <c r="R140" s="2">
        <f t="shared" si="5"/>
        <v>3.3737177066249999</v>
      </c>
      <c r="S140" s="2">
        <f t="shared" si="5"/>
        <v>4.5762216297000006E-3</v>
      </c>
      <c r="T140" s="2">
        <f t="shared" si="5"/>
        <v>8.1697480158000001E-4</v>
      </c>
      <c r="U140" s="2">
        <f t="shared" si="6"/>
        <v>0.26738236641221375</v>
      </c>
    </row>
    <row r="141" spans="2:21" x14ac:dyDescent="0.3">
      <c r="B141" s="2">
        <v>66000</v>
      </c>
      <c r="C141" s="2">
        <v>1.32E-2</v>
      </c>
      <c r="D141" s="2">
        <v>-3.5425811E-3</v>
      </c>
      <c r="E141" s="2">
        <v>0</v>
      </c>
      <c r="F141" s="2">
        <v>0.96494506999999996</v>
      </c>
      <c r="G141" s="2">
        <v>7.1406565999999998</v>
      </c>
      <c r="H141" s="2">
        <v>3.9313259</v>
      </c>
      <c r="I141" s="2">
        <v>3.0597390999999998</v>
      </c>
      <c r="J141" s="2">
        <v>6.0393911999999998E-14</v>
      </c>
      <c r="K141" s="2">
        <v>-335792.61</v>
      </c>
      <c r="L141" s="2">
        <v>424.74655000000001</v>
      </c>
      <c r="M141" s="2">
        <v>126.7724</v>
      </c>
      <c r="N141" s="2">
        <v>76.433779999999999</v>
      </c>
      <c r="O141" s="2">
        <v>65.099778999999998</v>
      </c>
      <c r="P141" s="2">
        <v>0</v>
      </c>
      <c r="R141" s="2">
        <f t="shared" si="5"/>
        <v>3.4024186208249998</v>
      </c>
      <c r="S141" s="2">
        <f t="shared" si="5"/>
        <v>-4.3037444178750002E-3</v>
      </c>
      <c r="T141" s="2">
        <f t="shared" si="5"/>
        <v>-1.284521343E-3</v>
      </c>
      <c r="U141" s="2">
        <f t="shared" si="6"/>
        <v>0.26837735606060609</v>
      </c>
    </row>
    <row r="142" spans="2:21" x14ac:dyDescent="0.3">
      <c r="B142" s="2">
        <v>66500</v>
      </c>
      <c r="C142" s="2">
        <v>1.3299999999999999E-2</v>
      </c>
      <c r="D142" s="2">
        <v>-3.5545022999999999E-3</v>
      </c>
      <c r="E142" s="2">
        <v>0</v>
      </c>
      <c r="F142" s="2">
        <v>0.94324574999999999</v>
      </c>
      <c r="G142" s="2">
        <v>7.2434750000000001</v>
      </c>
      <c r="H142" s="2">
        <v>3.9764938000000001</v>
      </c>
      <c r="I142" s="2">
        <v>3.1207536</v>
      </c>
      <c r="J142" s="2">
        <v>5.7908345000000004E-14</v>
      </c>
      <c r="K142" s="2">
        <v>-338082.17</v>
      </c>
      <c r="L142" s="2">
        <v>-324.56734999999998</v>
      </c>
      <c r="M142" s="2">
        <v>300.34802000000002</v>
      </c>
      <c r="N142" s="2">
        <v>76.441323999999994</v>
      </c>
      <c r="O142" s="2">
        <v>65.099000000000004</v>
      </c>
      <c r="P142" s="2">
        <v>0</v>
      </c>
      <c r="R142" s="2">
        <f t="shared" si="5"/>
        <v>3.4256175875249997</v>
      </c>
      <c r="S142" s="2">
        <f t="shared" si="5"/>
        <v>3.2886786738749998E-3</v>
      </c>
      <c r="T142" s="2">
        <f t="shared" si="5"/>
        <v>-3.0432763126500002E-3</v>
      </c>
      <c r="U142" s="2">
        <f t="shared" si="6"/>
        <v>0.2672558120300752</v>
      </c>
    </row>
    <row r="143" spans="2:21" x14ac:dyDescent="0.3">
      <c r="B143" s="2">
        <v>67000</v>
      </c>
      <c r="C143" s="2">
        <v>1.34E-2</v>
      </c>
      <c r="D143" s="2">
        <v>-3.5994834999999998E-3</v>
      </c>
      <c r="E143" s="2">
        <v>0</v>
      </c>
      <c r="F143" s="2">
        <v>0.93752575000000005</v>
      </c>
      <c r="G143" s="2">
        <v>7.3507274999999996</v>
      </c>
      <c r="H143" s="2">
        <v>4.0307450999999999</v>
      </c>
      <c r="I143" s="2">
        <v>3.1746414999999999</v>
      </c>
      <c r="J143" s="2">
        <v>5.9548809999999996E-14</v>
      </c>
      <c r="K143" s="2">
        <v>-340375.89</v>
      </c>
      <c r="L143" s="2">
        <v>113.13081</v>
      </c>
      <c r="M143" s="2">
        <v>419.40329000000003</v>
      </c>
      <c r="N143" s="2">
        <v>76.448868000000004</v>
      </c>
      <c r="O143" s="2">
        <v>65.096062000000003</v>
      </c>
      <c r="P143" s="2">
        <v>0</v>
      </c>
      <c r="R143" s="2">
        <f t="shared" si="5"/>
        <v>3.4488587054250002</v>
      </c>
      <c r="S143" s="2">
        <f t="shared" si="5"/>
        <v>-1.1462979323249999E-3</v>
      </c>
      <c r="T143" s="2">
        <f t="shared" si="5"/>
        <v>-4.2496038359250005E-3</v>
      </c>
      <c r="U143" s="2">
        <f t="shared" si="6"/>
        <v>0.26861817164179103</v>
      </c>
    </row>
    <row r="144" spans="2:21" x14ac:dyDescent="0.3">
      <c r="B144" s="2">
        <v>67500</v>
      </c>
      <c r="C144" s="2">
        <v>1.35E-2</v>
      </c>
      <c r="D144" s="2">
        <v>-3.6135671999999999E-3</v>
      </c>
      <c r="E144" s="2">
        <v>0</v>
      </c>
      <c r="F144" s="2">
        <v>0.96463885000000005</v>
      </c>
      <c r="G144" s="2">
        <v>7.4597391000000002</v>
      </c>
      <c r="H144" s="2">
        <v>4.1109093999999997</v>
      </c>
      <c r="I144" s="2">
        <v>3.1992856000000001</v>
      </c>
      <c r="J144" s="2">
        <v>5.9604543999999996E-14</v>
      </c>
      <c r="K144" s="2">
        <v>-343346.41</v>
      </c>
      <c r="L144" s="2">
        <v>226.90360000000001</v>
      </c>
      <c r="M144" s="2">
        <v>465.25650000000002</v>
      </c>
      <c r="N144" s="2">
        <v>76.456412</v>
      </c>
      <c r="O144" s="2">
        <v>65.095140999999998</v>
      </c>
      <c r="P144" s="2">
        <v>0</v>
      </c>
      <c r="R144" s="2">
        <f t="shared" si="5"/>
        <v>3.4789574993249999</v>
      </c>
      <c r="S144" s="2">
        <f t="shared" si="5"/>
        <v>-2.2991007270000002E-3</v>
      </c>
      <c r="T144" s="2">
        <f t="shared" si="5"/>
        <v>-4.7142114862499997E-3</v>
      </c>
      <c r="U144" s="2">
        <f t="shared" si="6"/>
        <v>0.26767164444444441</v>
      </c>
    </row>
    <row r="145" spans="2:21" x14ac:dyDescent="0.3">
      <c r="B145" s="2">
        <v>68000</v>
      </c>
      <c r="C145" s="2">
        <v>1.3599999999999999E-2</v>
      </c>
      <c r="D145" s="2">
        <v>-3.6167316E-3</v>
      </c>
      <c r="E145" s="2">
        <v>0</v>
      </c>
      <c r="F145" s="2">
        <v>1.0354992000000001</v>
      </c>
      <c r="G145" s="2">
        <v>7.5709491</v>
      </c>
      <c r="H145" s="2">
        <v>4.1555071000000003</v>
      </c>
      <c r="I145" s="2">
        <v>3.2549127000000002</v>
      </c>
      <c r="J145" s="2">
        <v>5.8615557000000005E-14</v>
      </c>
      <c r="K145" s="2">
        <v>-345644.37</v>
      </c>
      <c r="L145" s="2">
        <v>-805.98892999999998</v>
      </c>
      <c r="M145" s="2">
        <v>442.53246999999999</v>
      </c>
      <c r="N145" s="2">
        <v>76.463955999999996</v>
      </c>
      <c r="O145" s="2">
        <v>65.094935000000007</v>
      </c>
      <c r="P145" s="2">
        <v>0</v>
      </c>
      <c r="R145" s="2">
        <f t="shared" si="5"/>
        <v>3.5022415790250001</v>
      </c>
      <c r="S145" s="2">
        <f t="shared" si="5"/>
        <v>8.1666828332249992E-3</v>
      </c>
      <c r="T145" s="2">
        <f t="shared" si="5"/>
        <v>-4.4839602522749999E-3</v>
      </c>
      <c r="U145" s="2">
        <f t="shared" si="6"/>
        <v>0.26593614705882357</v>
      </c>
    </row>
    <row r="146" spans="2:21" x14ac:dyDescent="0.3">
      <c r="B146" s="2">
        <v>68500</v>
      </c>
      <c r="C146" s="2">
        <v>1.37E-2</v>
      </c>
      <c r="D146" s="2">
        <v>-3.7227125000000002E-3</v>
      </c>
      <c r="E146" s="2">
        <v>0</v>
      </c>
      <c r="F146" s="2">
        <v>1.0608248</v>
      </c>
      <c r="G146" s="2">
        <v>7.6793728999999997</v>
      </c>
      <c r="H146" s="2">
        <v>4.1913061000000003</v>
      </c>
      <c r="I146" s="2">
        <v>3.3236113999999999</v>
      </c>
      <c r="J146" s="2">
        <v>5.9590111E-14</v>
      </c>
      <c r="K146" s="2">
        <v>-347703.09</v>
      </c>
      <c r="L146" s="2">
        <v>1480.6212</v>
      </c>
      <c r="M146" s="2">
        <v>378.14774</v>
      </c>
      <c r="N146" s="2">
        <v>76.471498999999994</v>
      </c>
      <c r="O146" s="2">
        <v>65.088010999999995</v>
      </c>
      <c r="P146" s="2">
        <v>0</v>
      </c>
      <c r="R146" s="2">
        <f t="shared" si="5"/>
        <v>3.5231015594250001</v>
      </c>
      <c r="S146" s="2">
        <f t="shared" si="5"/>
        <v>-1.5002394309E-2</v>
      </c>
      <c r="T146" s="2">
        <f t="shared" si="5"/>
        <v>-3.8315819755499999E-3</v>
      </c>
      <c r="U146" s="2">
        <f t="shared" si="6"/>
        <v>0.27173083941605841</v>
      </c>
    </row>
    <row r="147" spans="2:21" x14ac:dyDescent="0.3">
      <c r="B147" s="2">
        <v>69000</v>
      </c>
      <c r="C147" s="2">
        <v>1.38E-2</v>
      </c>
      <c r="D147" s="2">
        <v>-3.6390532999999998E-3</v>
      </c>
      <c r="E147" s="2">
        <v>0</v>
      </c>
      <c r="F147" s="2">
        <v>0.97458290000000003</v>
      </c>
      <c r="G147" s="2">
        <v>7.7800114000000002</v>
      </c>
      <c r="H147" s="2">
        <v>4.3048425999999997</v>
      </c>
      <c r="I147" s="2">
        <v>3.3240831000000002</v>
      </c>
      <c r="J147" s="2">
        <v>5.9024341000000005E-14</v>
      </c>
      <c r="K147" s="2">
        <v>-351040.63</v>
      </c>
      <c r="L147" s="2">
        <v>-1371.9363000000001</v>
      </c>
      <c r="M147" s="2">
        <v>292.27697000000001</v>
      </c>
      <c r="N147" s="2">
        <v>76.479043000000004</v>
      </c>
      <c r="O147" s="2">
        <v>65.093475999999995</v>
      </c>
      <c r="P147" s="2">
        <v>0</v>
      </c>
      <c r="R147" s="2">
        <f t="shared" si="5"/>
        <v>3.5569191834750002</v>
      </c>
      <c r="S147" s="2">
        <f t="shared" si="5"/>
        <v>1.3901144559750001E-2</v>
      </c>
      <c r="T147" s="2">
        <f t="shared" si="5"/>
        <v>-2.961496398525E-3</v>
      </c>
      <c r="U147" s="2">
        <f t="shared" si="6"/>
        <v>0.26369951449275364</v>
      </c>
    </row>
    <row r="148" spans="2:21" x14ac:dyDescent="0.3">
      <c r="B148" s="2">
        <v>69500</v>
      </c>
      <c r="C148" s="2">
        <v>1.3899999999999999E-2</v>
      </c>
      <c r="D148" s="2">
        <v>-3.7374883999999999E-3</v>
      </c>
      <c r="E148" s="2">
        <v>0</v>
      </c>
      <c r="F148" s="2">
        <v>0.99130666999999995</v>
      </c>
      <c r="G148" s="2">
        <v>7.8890305999999999</v>
      </c>
      <c r="H148" s="2">
        <v>4.3304818999999997</v>
      </c>
      <c r="I148" s="2">
        <v>3.4048704000000001</v>
      </c>
      <c r="J148" s="2">
        <v>6.0783155999999994E-14</v>
      </c>
      <c r="K148" s="2">
        <v>-352934.7</v>
      </c>
      <c r="L148" s="2">
        <v>453.06470000000002</v>
      </c>
      <c r="M148" s="2">
        <v>175.02663999999999</v>
      </c>
      <c r="N148" s="2">
        <v>76.486587</v>
      </c>
      <c r="O148" s="2">
        <v>65.087045000000003</v>
      </c>
      <c r="P148" s="2">
        <v>0</v>
      </c>
      <c r="R148" s="2">
        <f t="shared" si="5"/>
        <v>3.5761108477500003</v>
      </c>
      <c r="S148" s="2">
        <f t="shared" si="5"/>
        <v>-4.5906780727500004E-3</v>
      </c>
      <c r="T148" s="2">
        <f t="shared" si="5"/>
        <v>-1.7734574297999998E-3</v>
      </c>
      <c r="U148" s="2">
        <f t="shared" si="6"/>
        <v>0.26888405755395683</v>
      </c>
    </row>
    <row r="149" spans="2:21" x14ac:dyDescent="0.3">
      <c r="B149" s="2">
        <v>70000</v>
      </c>
      <c r="C149" s="2">
        <v>1.4E-2</v>
      </c>
      <c r="D149" s="2">
        <v>-3.7702921999999998E-3</v>
      </c>
      <c r="E149" s="2">
        <v>0</v>
      </c>
      <c r="F149" s="2">
        <v>0.99374998000000003</v>
      </c>
      <c r="G149" s="2">
        <v>8.0027836000000008</v>
      </c>
      <c r="H149" s="2">
        <v>4.3873791000000004</v>
      </c>
      <c r="I149" s="2">
        <v>3.4613472999999999</v>
      </c>
      <c r="J149" s="2">
        <v>5.9398042000000003E-14</v>
      </c>
      <c r="K149" s="2">
        <v>-355360.54</v>
      </c>
      <c r="L149" s="2">
        <v>603.23419999999999</v>
      </c>
      <c r="M149" s="2">
        <v>58.142271999999998</v>
      </c>
      <c r="N149" s="2">
        <v>76.494130999999996</v>
      </c>
      <c r="O149" s="2">
        <v>65.084902</v>
      </c>
      <c r="P149" s="2">
        <v>0</v>
      </c>
      <c r="R149" s="2">
        <f t="shared" si="5"/>
        <v>3.6006906715499998</v>
      </c>
      <c r="S149" s="2">
        <f t="shared" si="5"/>
        <v>-6.1122705314999998E-3</v>
      </c>
      <c r="T149" s="2">
        <f t="shared" si="5"/>
        <v>-5.8912657103999994E-4</v>
      </c>
      <c r="U149" s="2">
        <f t="shared" si="6"/>
        <v>0.26930658571428567</v>
      </c>
    </row>
    <row r="150" spans="2:21" x14ac:dyDescent="0.3">
      <c r="B150" s="2">
        <v>70500</v>
      </c>
      <c r="C150" s="2">
        <v>1.41E-2</v>
      </c>
      <c r="D150" s="2">
        <v>-3.7202568000000002E-3</v>
      </c>
      <c r="E150" s="2">
        <v>0</v>
      </c>
      <c r="F150" s="2">
        <v>1.0062732999999999</v>
      </c>
      <c r="G150" s="2">
        <v>8.1090473999999997</v>
      </c>
      <c r="H150" s="2">
        <v>4.4877925000000003</v>
      </c>
      <c r="I150" s="2">
        <v>3.4652563999999999</v>
      </c>
      <c r="J150" s="2">
        <v>6.1071592000000002E-14</v>
      </c>
      <c r="K150" s="2">
        <v>-358527.8</v>
      </c>
      <c r="L150" s="2">
        <v>-1262.5804000000001</v>
      </c>
      <c r="M150" s="2">
        <v>-51.661127999999998</v>
      </c>
      <c r="N150" s="2">
        <v>76.501675000000006</v>
      </c>
      <c r="O150" s="2">
        <v>65.088171000000003</v>
      </c>
      <c r="P150" s="2">
        <v>0</v>
      </c>
      <c r="R150" s="2">
        <f t="shared" si="5"/>
        <v>3.6327829334999997</v>
      </c>
      <c r="S150" s="2">
        <f t="shared" si="5"/>
        <v>1.2793095903E-2</v>
      </c>
      <c r="T150" s="2">
        <f t="shared" si="5"/>
        <v>5.2345637945999993E-4</v>
      </c>
      <c r="U150" s="2">
        <f t="shared" si="6"/>
        <v>0.26384800000000003</v>
      </c>
    </row>
    <row r="151" spans="2:21" x14ac:dyDescent="0.3">
      <c r="B151" s="2">
        <v>71000</v>
      </c>
      <c r="C151" s="2">
        <v>1.4200000000000001E-2</v>
      </c>
      <c r="D151" s="2">
        <v>-3.8479806000000002E-3</v>
      </c>
      <c r="E151" s="2">
        <v>0</v>
      </c>
      <c r="F151" s="2">
        <v>0.98296276000000005</v>
      </c>
      <c r="G151" s="2">
        <v>8.2137563999999994</v>
      </c>
      <c r="H151" s="2">
        <v>4.5033892</v>
      </c>
      <c r="I151" s="2">
        <v>3.5579824000000002</v>
      </c>
      <c r="J151" s="2">
        <v>5.9247940000000005E-14</v>
      </c>
      <c r="K151" s="2">
        <v>-360216.48</v>
      </c>
      <c r="L151" s="2">
        <v>1347.3177000000001</v>
      </c>
      <c r="M151" s="2">
        <v>-130.08024</v>
      </c>
      <c r="N151" s="2">
        <v>76.509218000000004</v>
      </c>
      <c r="O151" s="2">
        <v>65.079826999999995</v>
      </c>
      <c r="P151" s="2">
        <v>0</v>
      </c>
      <c r="R151" s="2">
        <f t="shared" si="5"/>
        <v>3.6498934835999997</v>
      </c>
      <c r="S151" s="2">
        <f t="shared" si="5"/>
        <v>-1.365169659525E-2</v>
      </c>
      <c r="T151" s="2">
        <f t="shared" si="5"/>
        <v>1.3180380318E-3</v>
      </c>
      <c r="U151" s="2">
        <f t="shared" si="6"/>
        <v>0.27098454929577465</v>
      </c>
    </row>
    <row r="152" spans="2:21" x14ac:dyDescent="0.3">
      <c r="B152" s="2">
        <v>71500</v>
      </c>
      <c r="C152" s="2">
        <v>1.43E-2</v>
      </c>
      <c r="D152" s="2">
        <v>-3.7901499999999999E-3</v>
      </c>
      <c r="E152" s="2">
        <v>0</v>
      </c>
      <c r="F152" s="2">
        <v>0.99162724000000002</v>
      </c>
      <c r="G152" s="2">
        <v>8.3220302000000004</v>
      </c>
      <c r="H152" s="2">
        <v>4.5919290999999998</v>
      </c>
      <c r="I152" s="2">
        <v>3.5763731000000001</v>
      </c>
      <c r="J152" s="2">
        <v>5.9451110999999997E-14</v>
      </c>
      <c r="K152" s="2">
        <v>-363199.24</v>
      </c>
      <c r="L152" s="2">
        <v>-1012.2333</v>
      </c>
      <c r="M152" s="2">
        <v>-214.97154</v>
      </c>
      <c r="N152" s="2">
        <v>76.516762</v>
      </c>
      <c r="O152" s="2">
        <v>65.083605000000006</v>
      </c>
      <c r="P152" s="2">
        <v>0</v>
      </c>
      <c r="R152" s="2">
        <f t="shared" si="5"/>
        <v>3.6801162992999998</v>
      </c>
      <c r="S152" s="2">
        <f t="shared" si="5"/>
        <v>1.025645391225E-2</v>
      </c>
      <c r="T152" s="2">
        <f t="shared" si="5"/>
        <v>2.1781991290499999E-3</v>
      </c>
      <c r="U152" s="2">
        <f t="shared" si="6"/>
        <v>0.26504545454545453</v>
      </c>
    </row>
    <row r="153" spans="2:21" x14ac:dyDescent="0.3">
      <c r="B153" s="2">
        <v>72000</v>
      </c>
      <c r="C153" s="2">
        <v>1.44E-2</v>
      </c>
      <c r="D153" s="2">
        <v>-3.8577593999999998E-3</v>
      </c>
      <c r="E153" s="2">
        <v>0</v>
      </c>
      <c r="F153" s="2">
        <v>0.97365908999999995</v>
      </c>
      <c r="G153" s="2">
        <v>8.4326550000000005</v>
      </c>
      <c r="H153" s="2">
        <v>4.6574888999999997</v>
      </c>
      <c r="I153" s="2">
        <v>3.6242236000000001</v>
      </c>
      <c r="J153" s="2">
        <v>6.0361494000000003E-14</v>
      </c>
      <c r="K153" s="2">
        <v>-365751.13</v>
      </c>
      <c r="L153" s="2">
        <v>502.53707000000003</v>
      </c>
      <c r="M153" s="2">
        <v>-279.29739999999998</v>
      </c>
      <c r="N153" s="2">
        <v>76.524305999999996</v>
      </c>
      <c r="O153" s="2">
        <v>65.079188000000002</v>
      </c>
      <c r="P153" s="2">
        <v>0</v>
      </c>
      <c r="R153" s="2">
        <f t="shared" si="5"/>
        <v>3.705973324725</v>
      </c>
      <c r="S153" s="2">
        <f t="shared" si="5"/>
        <v>-5.0919568617750002E-3</v>
      </c>
      <c r="T153" s="2">
        <f t="shared" si="5"/>
        <v>2.8299809054999998E-3</v>
      </c>
      <c r="U153" s="2">
        <f t="shared" si="6"/>
        <v>0.26789995833333335</v>
      </c>
    </row>
    <row r="154" spans="2:21" x14ac:dyDescent="0.3">
      <c r="B154" s="2">
        <v>72500</v>
      </c>
      <c r="C154" s="2">
        <v>1.4500000000000001E-2</v>
      </c>
      <c r="D154" s="2">
        <v>-3.8816544000000001E-3</v>
      </c>
      <c r="E154" s="2">
        <v>0</v>
      </c>
      <c r="F154" s="2">
        <v>0.99080836999999999</v>
      </c>
      <c r="G154" s="2">
        <v>8.5476161000000008</v>
      </c>
      <c r="H154" s="2">
        <v>4.6973089000000003</v>
      </c>
      <c r="I154" s="2">
        <v>3.6967061999999999</v>
      </c>
      <c r="J154" s="2">
        <v>5.8621329999999994E-14</v>
      </c>
      <c r="K154" s="2">
        <v>-367809</v>
      </c>
      <c r="L154" s="2">
        <v>-70.586276999999995</v>
      </c>
      <c r="M154" s="2">
        <v>-320.88384000000002</v>
      </c>
      <c r="N154" s="2">
        <v>76.531850000000006</v>
      </c>
      <c r="O154" s="2">
        <v>65.077627000000007</v>
      </c>
      <c r="P154" s="2">
        <v>0</v>
      </c>
      <c r="R154" s="2">
        <f t="shared" si="5"/>
        <v>3.7268246925000001</v>
      </c>
      <c r="S154" s="2">
        <f t="shared" si="5"/>
        <v>7.152154517025E-4</v>
      </c>
      <c r="T154" s="2">
        <f t="shared" si="5"/>
        <v>3.2513555088E-3</v>
      </c>
      <c r="U154" s="2">
        <f t="shared" si="6"/>
        <v>0.26770030344827583</v>
      </c>
    </row>
    <row r="155" spans="2:21" x14ac:dyDescent="0.3">
      <c r="B155" s="2">
        <v>73000</v>
      </c>
      <c r="C155" s="2">
        <v>1.46E-2</v>
      </c>
      <c r="D155" s="2">
        <v>-3.8904743999999998E-3</v>
      </c>
      <c r="E155" s="2">
        <v>0</v>
      </c>
      <c r="F155" s="2">
        <v>1.060033</v>
      </c>
      <c r="G155" s="2">
        <v>8.6665898000000006</v>
      </c>
      <c r="H155" s="2">
        <v>4.7844122999999996</v>
      </c>
      <c r="I155" s="2">
        <v>3.7178447999999999</v>
      </c>
      <c r="J155" s="2">
        <v>5.9467763999999997E-14</v>
      </c>
      <c r="K155" s="2">
        <v>-370745.81</v>
      </c>
      <c r="L155" s="2">
        <v>-147.46252000000001</v>
      </c>
      <c r="M155" s="2">
        <v>-357.31405000000001</v>
      </c>
      <c r="N155" s="2">
        <v>76.539394000000001</v>
      </c>
      <c r="O155" s="2">
        <v>65.077050999999997</v>
      </c>
      <c r="P155" s="2">
        <v>0</v>
      </c>
      <c r="R155" s="2">
        <f t="shared" si="5"/>
        <v>3.7565819198249999</v>
      </c>
      <c r="S155" s="2">
        <f t="shared" si="5"/>
        <v>1.4941639839000001E-3</v>
      </c>
      <c r="T155" s="2">
        <f t="shared" si="5"/>
        <v>3.620484611625E-3</v>
      </c>
      <c r="U155" s="2">
        <f t="shared" si="6"/>
        <v>0.26647084931506848</v>
      </c>
    </row>
    <row r="156" spans="2:21" x14ac:dyDescent="0.3">
      <c r="B156" s="2">
        <v>73500</v>
      </c>
      <c r="C156" s="2">
        <v>1.47E-2</v>
      </c>
      <c r="D156" s="2">
        <v>-3.9321065999999997E-3</v>
      </c>
      <c r="E156" s="2">
        <v>0</v>
      </c>
      <c r="F156" s="2">
        <v>0.99096989000000002</v>
      </c>
      <c r="G156" s="2">
        <v>8.7796073999999997</v>
      </c>
      <c r="H156" s="2">
        <v>4.8434416999999996</v>
      </c>
      <c r="I156" s="2">
        <v>3.7825397000000001</v>
      </c>
      <c r="J156" s="2">
        <v>5.9975580000000001E-14</v>
      </c>
      <c r="K156" s="2">
        <v>-373060.52</v>
      </c>
      <c r="L156" s="2">
        <v>190.94964999999999</v>
      </c>
      <c r="M156" s="2">
        <v>-372.73863999999998</v>
      </c>
      <c r="N156" s="2">
        <v>76.546937</v>
      </c>
      <c r="O156" s="2">
        <v>65.074331000000001</v>
      </c>
      <c r="P156" s="2">
        <v>0</v>
      </c>
      <c r="R156" s="2">
        <f t="shared" si="5"/>
        <v>3.7800357189000002</v>
      </c>
      <c r="S156" s="2">
        <f t="shared" si="5"/>
        <v>-1.9347973286249999E-3</v>
      </c>
      <c r="T156" s="2">
        <f t="shared" si="5"/>
        <v>3.7767742697999997E-3</v>
      </c>
      <c r="U156" s="2">
        <f t="shared" si="6"/>
        <v>0.2674902448979592</v>
      </c>
    </row>
    <row r="157" spans="2:21" x14ac:dyDescent="0.3">
      <c r="B157" s="2">
        <v>74000</v>
      </c>
      <c r="C157" s="2">
        <v>1.4800000000000001E-2</v>
      </c>
      <c r="D157" s="2">
        <v>-3.9539029999999999E-3</v>
      </c>
      <c r="E157" s="2">
        <v>0</v>
      </c>
      <c r="F157" s="2">
        <v>1.0123340000000001</v>
      </c>
      <c r="G157" s="2">
        <v>8.8918766999999992</v>
      </c>
      <c r="H157" s="2">
        <v>4.8954085000000003</v>
      </c>
      <c r="I157" s="2">
        <v>3.8395301000000002</v>
      </c>
      <c r="J157" s="2">
        <v>5.9956261999999995E-14</v>
      </c>
      <c r="K157" s="2">
        <v>-375368.93</v>
      </c>
      <c r="L157" s="2">
        <v>-165.90875</v>
      </c>
      <c r="M157" s="2">
        <v>-394.59636999999998</v>
      </c>
      <c r="N157" s="2">
        <v>76.554480999999996</v>
      </c>
      <c r="O157" s="2">
        <v>65.072907000000001</v>
      </c>
      <c r="P157" s="2">
        <v>0</v>
      </c>
      <c r="R157" s="2">
        <f t="shared" si="5"/>
        <v>3.803425683225</v>
      </c>
      <c r="S157" s="2">
        <f t="shared" si="5"/>
        <v>1.681070409375E-3</v>
      </c>
      <c r="T157" s="2">
        <f t="shared" si="5"/>
        <v>3.998247719025E-3</v>
      </c>
      <c r="U157" s="2">
        <f t="shared" si="6"/>
        <v>0.26715560810810807</v>
      </c>
    </row>
    <row r="158" spans="2:21" x14ac:dyDescent="0.3">
      <c r="B158" s="2">
        <v>74500</v>
      </c>
      <c r="C158" s="2">
        <v>1.49E-2</v>
      </c>
      <c r="D158" s="2">
        <v>-3.9743675999999997E-3</v>
      </c>
      <c r="E158" s="2">
        <v>0</v>
      </c>
      <c r="F158" s="2">
        <v>0.97683531999999995</v>
      </c>
      <c r="G158" s="2">
        <v>8.9976012000000001</v>
      </c>
      <c r="H158" s="2">
        <v>4.9835082999999996</v>
      </c>
      <c r="I158" s="2">
        <v>3.8626581</v>
      </c>
      <c r="J158" s="2">
        <v>5.9290794000000001E-14</v>
      </c>
      <c r="K158" s="2">
        <v>-378296.6</v>
      </c>
      <c r="L158" s="2">
        <v>146.58472</v>
      </c>
      <c r="M158" s="2">
        <v>-391.11115999999998</v>
      </c>
      <c r="N158" s="2">
        <v>76.562025000000006</v>
      </c>
      <c r="O158" s="2">
        <v>65.071569999999994</v>
      </c>
      <c r="P158" s="2">
        <v>0</v>
      </c>
      <c r="R158" s="2">
        <f t="shared" si="5"/>
        <v>3.8330902994999998</v>
      </c>
      <c r="S158" s="2">
        <f t="shared" si="5"/>
        <v>-1.4852696754E-3</v>
      </c>
      <c r="T158" s="2">
        <f t="shared" si="5"/>
        <v>3.9629338287000002E-3</v>
      </c>
      <c r="U158" s="2">
        <f t="shared" si="6"/>
        <v>0.26673608053691272</v>
      </c>
    </row>
    <row r="159" spans="2:21" x14ac:dyDescent="0.3">
      <c r="B159" s="2">
        <v>75000</v>
      </c>
      <c r="C159" s="2">
        <v>1.4999999999999999E-2</v>
      </c>
      <c r="D159" s="2">
        <v>-4.0067148999999996E-3</v>
      </c>
      <c r="E159" s="2">
        <v>0</v>
      </c>
      <c r="F159" s="2">
        <v>0.97453624000000005</v>
      </c>
      <c r="G159" s="2">
        <v>9.1168978000000003</v>
      </c>
      <c r="H159" s="2">
        <v>5.0257296</v>
      </c>
      <c r="I159" s="2">
        <v>3.9400898</v>
      </c>
      <c r="J159" s="2">
        <v>6.1524118999999996E-14</v>
      </c>
      <c r="K159" s="2">
        <v>-380344.8</v>
      </c>
      <c r="L159" s="2">
        <v>-142.73715999999999</v>
      </c>
      <c r="M159" s="2">
        <v>-389.64262000000002</v>
      </c>
      <c r="N159" s="2">
        <v>76.569569000000001</v>
      </c>
      <c r="O159" s="2">
        <v>65.069457</v>
      </c>
      <c r="P159" s="2">
        <v>0</v>
      </c>
      <c r="R159" s="2">
        <f t="shared" si="5"/>
        <v>3.8538436859999998</v>
      </c>
      <c r="S159" s="2">
        <f t="shared" si="5"/>
        <v>1.4462842736999999E-3</v>
      </c>
      <c r="T159" s="2">
        <f t="shared" si="5"/>
        <v>3.9480538471500003E-3</v>
      </c>
      <c r="U159" s="2">
        <f t="shared" si="6"/>
        <v>0.26711432666666668</v>
      </c>
    </row>
    <row r="160" spans="2:21" x14ac:dyDescent="0.3">
      <c r="B160" s="2">
        <v>75500</v>
      </c>
      <c r="C160" s="2">
        <v>1.5100000000000001E-2</v>
      </c>
      <c r="D160" s="2">
        <v>-4.0332709999999997E-3</v>
      </c>
      <c r="E160" s="2">
        <v>0</v>
      </c>
      <c r="F160" s="2">
        <v>1.0370337999999999</v>
      </c>
      <c r="G160" s="2">
        <v>9.2417362999999995</v>
      </c>
      <c r="H160" s="2">
        <v>5.1038218999999998</v>
      </c>
      <c r="I160" s="2">
        <v>3.9771472000000001</v>
      </c>
      <c r="J160" s="2">
        <v>6.1016525000000002E-14</v>
      </c>
      <c r="K160" s="2">
        <v>-383064.04</v>
      </c>
      <c r="L160" s="2">
        <v>151.24494999999999</v>
      </c>
      <c r="M160" s="2">
        <v>-389.37180000000001</v>
      </c>
      <c r="N160" s="2">
        <v>76.577112999999997</v>
      </c>
      <c r="O160" s="2">
        <v>65.067722000000003</v>
      </c>
      <c r="P160" s="2">
        <v>0</v>
      </c>
      <c r="R160" s="2">
        <f t="shared" si="5"/>
        <v>3.8813963853</v>
      </c>
      <c r="S160" s="2">
        <f t="shared" si="5"/>
        <v>-1.5324894558749998E-3</v>
      </c>
      <c r="T160" s="2">
        <f t="shared" si="5"/>
        <v>3.9453097635000003E-3</v>
      </c>
      <c r="U160" s="2">
        <f t="shared" si="6"/>
        <v>0.26710403973509933</v>
      </c>
    </row>
    <row r="161" spans="2:21" x14ac:dyDescent="0.3">
      <c r="B161" s="2">
        <v>76000</v>
      </c>
      <c r="C161" s="2">
        <v>1.52E-2</v>
      </c>
      <c r="D161" s="2">
        <v>-4.0469716999999997E-3</v>
      </c>
      <c r="E161" s="2">
        <v>0</v>
      </c>
      <c r="F161" s="2">
        <v>0.96715439000000003</v>
      </c>
      <c r="G161" s="2">
        <v>9.3619395000000001</v>
      </c>
      <c r="H161" s="2">
        <v>5.1851713999999998</v>
      </c>
      <c r="I161" s="2">
        <v>4.026834</v>
      </c>
      <c r="J161" s="2">
        <v>5.9731775000000004E-14</v>
      </c>
      <c r="K161" s="2">
        <v>-385655.3</v>
      </c>
      <c r="L161" s="2">
        <v>-148.14395999999999</v>
      </c>
      <c r="M161" s="2">
        <v>-374.18732999999997</v>
      </c>
      <c r="N161" s="2">
        <v>76.584655999999995</v>
      </c>
      <c r="O161" s="2">
        <v>65.066827000000004</v>
      </c>
      <c r="P161" s="2">
        <v>0</v>
      </c>
      <c r="R161" s="2">
        <f t="shared" si="5"/>
        <v>3.9076523272499997</v>
      </c>
      <c r="S161" s="2">
        <f t="shared" si="5"/>
        <v>1.5010686747E-3</v>
      </c>
      <c r="T161" s="2">
        <f t="shared" si="5"/>
        <v>3.7914531212249998E-3</v>
      </c>
      <c r="U161" s="2">
        <f t="shared" si="6"/>
        <v>0.26624813815789472</v>
      </c>
    </row>
    <row r="162" spans="2:21" x14ac:dyDescent="0.3">
      <c r="B162" s="2">
        <v>76500</v>
      </c>
      <c r="C162" s="2">
        <v>1.5299999999999999E-2</v>
      </c>
      <c r="D162" s="2">
        <v>-4.0911736000000002E-3</v>
      </c>
      <c r="E162" s="2">
        <v>0</v>
      </c>
      <c r="F162" s="2">
        <v>1.0209292999999999</v>
      </c>
      <c r="G162" s="2">
        <v>9.4836925000000001</v>
      </c>
      <c r="H162" s="2">
        <v>5.2272723000000001</v>
      </c>
      <c r="I162" s="2">
        <v>4.0981496000000002</v>
      </c>
      <c r="J162" s="2">
        <v>6.1416426999999998E-14</v>
      </c>
      <c r="K162" s="2">
        <v>-387748.06</v>
      </c>
      <c r="L162" s="2">
        <v>33.710622000000001</v>
      </c>
      <c r="M162" s="2">
        <v>-361.38970999999998</v>
      </c>
      <c r="N162" s="2">
        <v>76.592200000000005</v>
      </c>
      <c r="O162" s="2">
        <v>65.063939000000005</v>
      </c>
      <c r="P162" s="2">
        <v>0</v>
      </c>
      <c r="R162" s="2">
        <f t="shared" si="5"/>
        <v>3.9288572179500001</v>
      </c>
      <c r="S162" s="2">
        <f t="shared" si="5"/>
        <v>-3.4157287741500003E-4</v>
      </c>
      <c r="T162" s="2">
        <f t="shared" si="5"/>
        <v>3.6617812365749998E-3</v>
      </c>
      <c r="U162" s="2">
        <f t="shared" si="6"/>
        <v>0.26739696732026147</v>
      </c>
    </row>
    <row r="163" spans="2:21" x14ac:dyDescent="0.3">
      <c r="B163" s="2">
        <v>77000</v>
      </c>
      <c r="C163" s="2">
        <v>1.54E-2</v>
      </c>
      <c r="D163" s="2">
        <v>-4.1092578999999997E-3</v>
      </c>
      <c r="E163" s="2">
        <v>0</v>
      </c>
      <c r="F163" s="2">
        <v>1.0498726</v>
      </c>
      <c r="G163" s="2">
        <v>9.6099712000000004</v>
      </c>
      <c r="H163" s="2">
        <v>5.3261582000000001</v>
      </c>
      <c r="I163" s="2">
        <v>4.1210554000000004</v>
      </c>
      <c r="J163" s="2">
        <v>6.0785154999999994E-14</v>
      </c>
      <c r="K163" s="2">
        <v>-390723.73</v>
      </c>
      <c r="L163" s="2">
        <v>340.98149999999998</v>
      </c>
      <c r="M163" s="2">
        <v>-335.92941999999999</v>
      </c>
      <c r="N163" s="2">
        <v>76.599744000000001</v>
      </c>
      <c r="O163" s="2">
        <v>65.062757000000005</v>
      </c>
      <c r="P163" s="2">
        <v>0</v>
      </c>
      <c r="R163" s="2">
        <f t="shared" si="5"/>
        <v>3.9590081942249999</v>
      </c>
      <c r="S163" s="2">
        <f t="shared" si="5"/>
        <v>-3.4549950487499999E-3</v>
      </c>
      <c r="T163" s="2">
        <f t="shared" si="5"/>
        <v>3.4038048481499997E-3</v>
      </c>
      <c r="U163" s="2">
        <f t="shared" si="6"/>
        <v>0.26683492857142854</v>
      </c>
    </row>
    <row r="164" spans="2:21" x14ac:dyDescent="0.3">
      <c r="B164" s="2">
        <v>77500</v>
      </c>
      <c r="C164" s="2">
        <v>1.55E-2</v>
      </c>
      <c r="D164" s="2">
        <v>-4.1141696000000002E-3</v>
      </c>
      <c r="E164" s="2">
        <v>0</v>
      </c>
      <c r="F164" s="2">
        <v>0.98691613</v>
      </c>
      <c r="G164" s="2">
        <v>9.7139168999999992</v>
      </c>
      <c r="H164" s="2">
        <v>5.3744579000000003</v>
      </c>
      <c r="I164" s="2">
        <v>4.1864613000000004</v>
      </c>
      <c r="J164" s="2">
        <v>5.9265258999999998E-14</v>
      </c>
      <c r="K164" s="2">
        <v>-392878.51</v>
      </c>
      <c r="L164" s="2">
        <v>-776.43706999999995</v>
      </c>
      <c r="M164" s="2">
        <v>-275.61577</v>
      </c>
      <c r="N164" s="2">
        <v>76.607287999999997</v>
      </c>
      <c r="O164" s="2">
        <v>65.062436000000005</v>
      </c>
      <c r="P164" s="2">
        <v>0</v>
      </c>
      <c r="R164" s="2">
        <f t="shared" si="5"/>
        <v>3.9808415025750001</v>
      </c>
      <c r="S164" s="2">
        <f t="shared" si="5"/>
        <v>7.867248611774999E-3</v>
      </c>
      <c r="T164" s="2">
        <f t="shared" si="5"/>
        <v>2.7926767895250001E-3</v>
      </c>
      <c r="U164" s="2">
        <f t="shared" si="6"/>
        <v>0.26543029677419355</v>
      </c>
    </row>
    <row r="165" spans="2:21" x14ac:dyDescent="0.3">
      <c r="B165" s="2">
        <v>78000</v>
      </c>
      <c r="C165" s="2">
        <v>1.5599999999999999E-2</v>
      </c>
      <c r="D165" s="2">
        <v>-4.1978878999999998E-3</v>
      </c>
      <c r="E165" s="2">
        <v>0</v>
      </c>
      <c r="F165" s="2">
        <v>0.98647171</v>
      </c>
      <c r="G165" s="2">
        <v>9.8367819000000001</v>
      </c>
      <c r="H165" s="2">
        <v>5.4381459999999997</v>
      </c>
      <c r="I165" s="2">
        <v>4.2457072</v>
      </c>
      <c r="J165" s="2">
        <v>6.0448978999999998E-14</v>
      </c>
      <c r="K165" s="2">
        <v>-395373.55</v>
      </c>
      <c r="L165" s="2">
        <v>1230.4059</v>
      </c>
      <c r="M165" s="2">
        <v>-208.37956</v>
      </c>
      <c r="N165" s="2">
        <v>76.614832000000007</v>
      </c>
      <c r="O165" s="2">
        <v>65.056967</v>
      </c>
      <c r="P165" s="2">
        <v>0</v>
      </c>
      <c r="R165" s="2">
        <f t="shared" si="5"/>
        <v>4.0061224953750001</v>
      </c>
      <c r="S165" s="2">
        <f t="shared" si="5"/>
        <v>-1.246708778175E-2</v>
      </c>
      <c r="T165" s="2">
        <f t="shared" si="5"/>
        <v>2.1114058917000001E-3</v>
      </c>
      <c r="U165" s="2">
        <f t="shared" si="6"/>
        <v>0.26909537820512819</v>
      </c>
    </row>
    <row r="166" spans="2:21" x14ac:dyDescent="0.3">
      <c r="B166" s="2">
        <v>78500</v>
      </c>
      <c r="C166" s="2">
        <v>1.5699999999999999E-2</v>
      </c>
      <c r="D166" s="2">
        <v>-4.1280858000000004E-3</v>
      </c>
      <c r="E166" s="2">
        <v>0</v>
      </c>
      <c r="F166" s="2">
        <v>0.98275296000000001</v>
      </c>
      <c r="G166" s="2">
        <v>9.9612578999999997</v>
      </c>
      <c r="H166" s="2">
        <v>5.5365225999999996</v>
      </c>
      <c r="I166" s="2">
        <v>4.2723830999999999</v>
      </c>
      <c r="J166" s="2">
        <v>5.9352523000000001E-14</v>
      </c>
      <c r="K166" s="2">
        <v>-398232.22</v>
      </c>
      <c r="L166" s="2">
        <v>-1645.3056999999999</v>
      </c>
      <c r="M166" s="2">
        <v>-140.91354999999999</v>
      </c>
      <c r="N166" s="2">
        <v>76.622375000000005</v>
      </c>
      <c r="O166" s="2">
        <v>65.061526999999998</v>
      </c>
      <c r="P166" s="2">
        <v>0</v>
      </c>
      <c r="R166" s="2">
        <f t="shared" si="5"/>
        <v>4.0350879691500001</v>
      </c>
      <c r="S166" s="2">
        <f t="shared" si="5"/>
        <v>1.667106000525E-2</v>
      </c>
      <c r="T166" s="2">
        <f t="shared" si="5"/>
        <v>1.4278065453749999E-3</v>
      </c>
      <c r="U166" s="2">
        <f t="shared" si="6"/>
        <v>0.26293540127388537</v>
      </c>
    </row>
    <row r="167" spans="2:21" x14ac:dyDescent="0.3">
      <c r="B167" s="2">
        <v>79000</v>
      </c>
      <c r="C167" s="2">
        <v>1.5800000000000002E-2</v>
      </c>
      <c r="D167" s="2">
        <v>-4.2803127999999999E-3</v>
      </c>
      <c r="E167" s="2">
        <v>0</v>
      </c>
      <c r="F167" s="2">
        <v>1.0065785</v>
      </c>
      <c r="G167" s="2">
        <v>10.092938</v>
      </c>
      <c r="H167" s="2">
        <v>5.5596969999999999</v>
      </c>
      <c r="I167" s="2">
        <v>4.3771953000000003</v>
      </c>
      <c r="J167" s="2">
        <v>6.2138071999999994E-14</v>
      </c>
      <c r="K167" s="2">
        <v>-400001.18</v>
      </c>
      <c r="L167" s="2">
        <v>1903.0661</v>
      </c>
      <c r="M167" s="2">
        <v>-64.910899999999998</v>
      </c>
      <c r="N167" s="2">
        <v>76.629919000000001</v>
      </c>
      <c r="O167" s="2">
        <v>65.051581999999996</v>
      </c>
      <c r="P167" s="2">
        <v>0</v>
      </c>
      <c r="R167" s="2">
        <f t="shared" si="5"/>
        <v>4.0530119563499998</v>
      </c>
      <c r="S167" s="2">
        <f t="shared" si="5"/>
        <v>-1.9282817258249998E-2</v>
      </c>
      <c r="T167" s="2">
        <f t="shared" si="5"/>
        <v>6.5770969424999996E-4</v>
      </c>
      <c r="U167" s="2">
        <f t="shared" si="6"/>
        <v>0.27090587341772149</v>
      </c>
    </row>
    <row r="168" spans="2:21" x14ac:dyDescent="0.3">
      <c r="B168" s="2">
        <v>79500</v>
      </c>
      <c r="C168" s="2">
        <v>1.5900000000000001E-2</v>
      </c>
      <c r="D168" s="2">
        <v>-4.1663361999999997E-3</v>
      </c>
      <c r="E168" s="2">
        <v>0</v>
      </c>
      <c r="F168" s="2">
        <v>1.0295694</v>
      </c>
      <c r="G168" s="2">
        <v>10.200782</v>
      </c>
      <c r="H168" s="2">
        <v>5.6830615</v>
      </c>
      <c r="I168" s="2">
        <v>4.3581108999999998</v>
      </c>
      <c r="J168" s="2">
        <v>6.0291104999999998E-14</v>
      </c>
      <c r="K168" s="2">
        <v>-403423.59</v>
      </c>
      <c r="L168" s="2">
        <v>-1851.6407999999999</v>
      </c>
      <c r="M168" s="2">
        <v>25.950005000000001</v>
      </c>
      <c r="N168" s="2">
        <v>76.637462999999997</v>
      </c>
      <c r="O168" s="2">
        <v>65.059027999999998</v>
      </c>
      <c r="P168" s="2">
        <v>0</v>
      </c>
      <c r="R168" s="2">
        <f t="shared" si="5"/>
        <v>4.0876895256750005</v>
      </c>
      <c r="S168" s="2">
        <f t="shared" si="5"/>
        <v>1.8761750405999998E-2</v>
      </c>
      <c r="T168" s="2">
        <f t="shared" si="5"/>
        <v>-2.6293842566250003E-4</v>
      </c>
      <c r="U168" s="2">
        <f t="shared" si="6"/>
        <v>0.26203372327044022</v>
      </c>
    </row>
    <row r="169" spans="2:21" x14ac:dyDescent="0.3">
      <c r="B169" s="2">
        <v>80000</v>
      </c>
      <c r="C169" s="2">
        <v>1.6E-2</v>
      </c>
      <c r="D169" s="2">
        <v>-4.3210250999999996E-3</v>
      </c>
      <c r="E169" s="2">
        <v>0</v>
      </c>
      <c r="F169" s="2">
        <v>0.96214018999999995</v>
      </c>
      <c r="G169" s="2">
        <v>10.325828</v>
      </c>
      <c r="H169" s="2">
        <v>5.6959463000000001</v>
      </c>
      <c r="I169" s="2">
        <v>4.4807245</v>
      </c>
      <c r="J169" s="2">
        <v>5.9453774999999997E-14</v>
      </c>
      <c r="K169" s="2">
        <v>-404948.41</v>
      </c>
      <c r="L169" s="2">
        <v>1492.8317</v>
      </c>
      <c r="M169" s="2">
        <v>106.44242</v>
      </c>
      <c r="N169" s="2">
        <v>76.645007000000007</v>
      </c>
      <c r="O169" s="2">
        <v>65.048922000000005</v>
      </c>
      <c r="P169" s="2">
        <v>0</v>
      </c>
      <c r="R169" s="2">
        <f t="shared" si="5"/>
        <v>4.1031397643249994</v>
      </c>
      <c r="S169" s="2">
        <f t="shared" si="5"/>
        <v>-1.512611720025E-2</v>
      </c>
      <c r="T169" s="2">
        <f t="shared" si="5"/>
        <v>-1.0785278206499999E-3</v>
      </c>
      <c r="U169" s="2">
        <f t="shared" si="6"/>
        <v>0.27006406875</v>
      </c>
    </row>
    <row r="170" spans="2:21" x14ac:dyDescent="0.3">
      <c r="B170" s="2">
        <v>80500</v>
      </c>
      <c r="C170" s="2">
        <v>1.61E-2</v>
      </c>
      <c r="D170" s="2">
        <v>-4.2465793999999996E-3</v>
      </c>
      <c r="E170" s="2">
        <v>0</v>
      </c>
      <c r="F170" s="2">
        <v>1.018402</v>
      </c>
      <c r="G170" s="2">
        <v>10.455506</v>
      </c>
      <c r="H170" s="2">
        <v>5.8256243000000003</v>
      </c>
      <c r="I170" s="2">
        <v>4.4720027</v>
      </c>
      <c r="J170" s="2">
        <v>5.9755090000000003E-14</v>
      </c>
      <c r="K170" s="2">
        <v>-408259.79</v>
      </c>
      <c r="L170" s="2">
        <v>-987.05206999999996</v>
      </c>
      <c r="M170" s="2">
        <v>219.37258</v>
      </c>
      <c r="N170" s="2">
        <v>76.652551000000003</v>
      </c>
      <c r="O170" s="2">
        <v>65.053786000000002</v>
      </c>
      <c r="P170" s="2">
        <v>0</v>
      </c>
      <c r="R170" s="2">
        <f t="shared" si="5"/>
        <v>4.1366923221749996</v>
      </c>
      <c r="S170" s="2">
        <f t="shared" si="5"/>
        <v>1.0001305099275E-2</v>
      </c>
      <c r="T170" s="2">
        <f t="shared" si="5"/>
        <v>-2.22279266685E-3</v>
      </c>
      <c r="U170" s="2">
        <f t="shared" si="6"/>
        <v>0.26376269565217392</v>
      </c>
    </row>
    <row r="171" spans="2:21" x14ac:dyDescent="0.3">
      <c r="B171" s="2">
        <v>81000</v>
      </c>
      <c r="C171" s="2">
        <v>1.6199999999999999E-2</v>
      </c>
      <c r="D171" s="2">
        <v>-4.3366762000000003E-3</v>
      </c>
      <c r="E171" s="2">
        <v>0</v>
      </c>
      <c r="F171" s="2">
        <v>0.96279990999999998</v>
      </c>
      <c r="G171" s="2">
        <v>10.583961</v>
      </c>
      <c r="H171" s="2">
        <v>5.8586479999999996</v>
      </c>
      <c r="I171" s="2">
        <v>4.5760535999999998</v>
      </c>
      <c r="J171" s="2">
        <v>6.0351946000000006E-14</v>
      </c>
      <c r="K171" s="2">
        <v>-410142.9</v>
      </c>
      <c r="L171" s="2">
        <v>523.92377999999997</v>
      </c>
      <c r="M171" s="2">
        <v>321.70006000000001</v>
      </c>
      <c r="N171" s="2">
        <v>76.660094000000001</v>
      </c>
      <c r="O171" s="2">
        <v>65.047899999999998</v>
      </c>
      <c r="P171" s="2">
        <v>0</v>
      </c>
      <c r="R171" s="2">
        <f t="shared" si="5"/>
        <v>4.1557729342499998</v>
      </c>
      <c r="S171" s="2">
        <f t="shared" si="5"/>
        <v>-5.30865770085E-3</v>
      </c>
      <c r="T171" s="2">
        <f t="shared" si="5"/>
        <v>-3.25962585795E-3</v>
      </c>
      <c r="U171" s="2">
        <f t="shared" si="6"/>
        <v>0.26769606172839511</v>
      </c>
    </row>
    <row r="172" spans="2:21" x14ac:dyDescent="0.3">
      <c r="B172" s="2">
        <v>81500</v>
      </c>
      <c r="C172" s="2">
        <v>1.6299999999999999E-2</v>
      </c>
      <c r="D172" s="2">
        <v>-4.3300075E-3</v>
      </c>
      <c r="E172" s="2">
        <v>0</v>
      </c>
      <c r="F172" s="2">
        <v>0.97188733999999999</v>
      </c>
      <c r="G172" s="2">
        <v>10.705558</v>
      </c>
      <c r="H172" s="2">
        <v>5.9516473000000003</v>
      </c>
      <c r="I172" s="2">
        <v>4.6032425999999997</v>
      </c>
      <c r="J172" s="2">
        <v>5.9651838999999994E-14</v>
      </c>
      <c r="K172" s="2">
        <v>-412953.46</v>
      </c>
      <c r="L172" s="2">
        <v>-207.30280999999999</v>
      </c>
      <c r="M172" s="2">
        <v>411.41573</v>
      </c>
      <c r="N172" s="2">
        <v>76.667637999999997</v>
      </c>
      <c r="O172" s="2">
        <v>65.048334999999994</v>
      </c>
      <c r="P172" s="2">
        <v>0</v>
      </c>
      <c r="R172" s="2">
        <f t="shared" si="5"/>
        <v>4.1842509334500004</v>
      </c>
      <c r="S172" s="2">
        <f t="shared" si="5"/>
        <v>2.1004957223250001E-3</v>
      </c>
      <c r="T172" s="2">
        <f t="shared" si="5"/>
        <v>-4.1686698842250004E-3</v>
      </c>
      <c r="U172" s="2">
        <f t="shared" si="6"/>
        <v>0.26564463190184051</v>
      </c>
    </row>
    <row r="173" spans="2:21" x14ac:dyDescent="0.3">
      <c r="B173" s="2">
        <v>82000</v>
      </c>
      <c r="C173" s="2">
        <v>1.6400000000000001E-2</v>
      </c>
      <c r="D173" s="2">
        <v>-4.3636163000000004E-3</v>
      </c>
      <c r="E173" s="2">
        <v>0</v>
      </c>
      <c r="F173" s="2">
        <v>0.98505832999999998</v>
      </c>
      <c r="G173" s="2">
        <v>10.828222</v>
      </c>
      <c r="H173" s="2">
        <v>6.0154056000000002</v>
      </c>
      <c r="I173" s="2">
        <v>4.6601062999999998</v>
      </c>
      <c r="J173" s="2">
        <v>5.9612980999999998E-14</v>
      </c>
      <c r="K173" s="2">
        <v>-415383.7</v>
      </c>
      <c r="L173" s="2">
        <v>-1.6374955</v>
      </c>
      <c r="M173" s="2">
        <v>446.06817000000001</v>
      </c>
      <c r="N173" s="2">
        <v>76.675182000000007</v>
      </c>
      <c r="O173" s="2">
        <v>65.046139999999994</v>
      </c>
      <c r="P173" s="2">
        <v>0</v>
      </c>
      <c r="R173" s="2">
        <f t="shared" si="5"/>
        <v>4.2088753402500005</v>
      </c>
      <c r="S173" s="2">
        <f t="shared" si="5"/>
        <v>1.6591923153750001E-5</v>
      </c>
      <c r="T173" s="2">
        <f t="shared" si="5"/>
        <v>-4.519785732525E-3</v>
      </c>
      <c r="U173" s="2">
        <f t="shared" si="6"/>
        <v>0.26607416463414635</v>
      </c>
    </row>
    <row r="174" spans="2:21" x14ac:dyDescent="0.3">
      <c r="B174" s="2">
        <v>82500</v>
      </c>
      <c r="C174" s="2">
        <v>1.6500000000000001E-2</v>
      </c>
      <c r="D174" s="2">
        <v>-4.3991593999999998E-3</v>
      </c>
      <c r="E174" s="2">
        <v>0</v>
      </c>
      <c r="F174" s="2">
        <v>0.95948816000000003</v>
      </c>
      <c r="G174" s="2">
        <v>10.956374</v>
      </c>
      <c r="H174" s="2">
        <v>6.0825604999999996</v>
      </c>
      <c r="I174" s="2">
        <v>4.7250683000000002</v>
      </c>
      <c r="J174" s="2">
        <v>5.8155479999999995E-14</v>
      </c>
      <c r="K174" s="2">
        <v>-417680.47</v>
      </c>
      <c r="L174" s="2">
        <v>133.33449999999999</v>
      </c>
      <c r="M174" s="2">
        <v>425.67820999999998</v>
      </c>
      <c r="N174" s="2">
        <v>76.682726000000002</v>
      </c>
      <c r="O174" s="2">
        <v>65.043818000000002</v>
      </c>
      <c r="P174" s="2">
        <v>0</v>
      </c>
      <c r="R174" s="2">
        <f t="shared" si="5"/>
        <v>4.2321473622749997</v>
      </c>
      <c r="S174" s="2">
        <f t="shared" si="5"/>
        <v>-1.3510118212499999E-3</v>
      </c>
      <c r="T174" s="2">
        <f t="shared" si="5"/>
        <v>-4.313184462825E-3</v>
      </c>
      <c r="U174" s="2">
        <f t="shared" si="6"/>
        <v>0.26661572121212118</v>
      </c>
    </row>
    <row r="175" spans="2:21" x14ac:dyDescent="0.3">
      <c r="B175" s="2">
        <v>83000</v>
      </c>
      <c r="C175" s="2">
        <v>1.66E-2</v>
      </c>
      <c r="D175" s="2">
        <v>-4.4021572000000004E-3</v>
      </c>
      <c r="E175" s="2">
        <v>0</v>
      </c>
      <c r="F175" s="2">
        <v>1.0567574</v>
      </c>
      <c r="G175" s="2">
        <v>11.090156</v>
      </c>
      <c r="H175" s="2">
        <v>6.1714105000000004</v>
      </c>
      <c r="I175" s="2">
        <v>4.7549206000000002</v>
      </c>
      <c r="J175" s="2">
        <v>6.0235372000000004E-14</v>
      </c>
      <c r="K175" s="2">
        <v>-420525.76</v>
      </c>
      <c r="L175" s="2">
        <v>-228.02314999999999</v>
      </c>
      <c r="M175" s="2">
        <v>340.77884999999998</v>
      </c>
      <c r="N175" s="2">
        <v>76.690269999999998</v>
      </c>
      <c r="O175" s="2">
        <v>65.043621999999999</v>
      </c>
      <c r="P175" s="2">
        <v>0</v>
      </c>
      <c r="R175" s="2">
        <f t="shared" si="5"/>
        <v>4.2609772632</v>
      </c>
      <c r="S175" s="2">
        <f t="shared" si="5"/>
        <v>2.3104445673749999E-3</v>
      </c>
      <c r="T175" s="2">
        <f t="shared" si="5"/>
        <v>-3.4529416976249996E-3</v>
      </c>
      <c r="U175" s="2">
        <f t="shared" si="6"/>
        <v>0.26519019277108435</v>
      </c>
    </row>
    <row r="176" spans="2:21" x14ac:dyDescent="0.3">
      <c r="B176" s="2">
        <v>83500</v>
      </c>
      <c r="C176" s="2">
        <v>1.67E-2</v>
      </c>
      <c r="D176" s="2">
        <v>-4.4598201000000002E-3</v>
      </c>
      <c r="E176" s="2">
        <v>0</v>
      </c>
      <c r="F176" s="2">
        <v>1.0447869000000001</v>
      </c>
      <c r="G176" s="2">
        <v>11.223077999999999</v>
      </c>
      <c r="H176" s="2">
        <v>6.2148165000000004</v>
      </c>
      <c r="I176" s="2">
        <v>4.8462921000000003</v>
      </c>
      <c r="J176" s="2">
        <v>5.9841242999999998E-14</v>
      </c>
      <c r="K176" s="2">
        <v>-422504.99</v>
      </c>
      <c r="L176" s="2">
        <v>288.65607999999997</v>
      </c>
      <c r="M176" s="2">
        <v>191.32426000000001</v>
      </c>
      <c r="N176" s="2">
        <v>76.697812999999996</v>
      </c>
      <c r="O176" s="2">
        <v>65.039855000000003</v>
      </c>
      <c r="P176" s="2">
        <v>0</v>
      </c>
      <c r="R176" s="2">
        <f t="shared" si="5"/>
        <v>4.2810318111749996</v>
      </c>
      <c r="S176" s="2">
        <f t="shared" si="5"/>
        <v>-2.9248077305999995E-3</v>
      </c>
      <c r="T176" s="2">
        <f t="shared" si="5"/>
        <v>-1.9385930644500002E-3</v>
      </c>
      <c r="U176" s="2">
        <f t="shared" si="6"/>
        <v>0.26705509580838327</v>
      </c>
    </row>
    <row r="177" spans="2:21" x14ac:dyDescent="0.3">
      <c r="B177" s="2">
        <v>84000</v>
      </c>
      <c r="C177" s="2">
        <v>1.6799999999999999E-2</v>
      </c>
      <c r="D177" s="2">
        <v>-4.44868E-3</v>
      </c>
      <c r="E177" s="2">
        <v>0</v>
      </c>
      <c r="F177" s="2">
        <v>1.0528706000000001</v>
      </c>
      <c r="G177" s="2">
        <v>11.346791</v>
      </c>
      <c r="H177" s="2">
        <v>6.3232873999999999</v>
      </c>
      <c r="I177" s="2">
        <v>4.8602812000000002</v>
      </c>
      <c r="J177" s="2">
        <v>5.9336535999999995E-14</v>
      </c>
      <c r="K177" s="2">
        <v>-425563.73</v>
      </c>
      <c r="L177" s="2">
        <v>-304.65219999999999</v>
      </c>
      <c r="M177" s="2">
        <v>5.3336068000000001</v>
      </c>
      <c r="N177" s="2">
        <v>76.705357000000006</v>
      </c>
      <c r="O177" s="2">
        <v>65.040582000000001</v>
      </c>
      <c r="P177" s="2">
        <v>0</v>
      </c>
      <c r="R177" s="2">
        <f t="shared" si="5"/>
        <v>4.3120244942249997</v>
      </c>
      <c r="S177" s="2">
        <f t="shared" si="5"/>
        <v>3.0868884164999997E-3</v>
      </c>
      <c r="T177" s="2">
        <f t="shared" si="5"/>
        <v>-5.4042770901E-5</v>
      </c>
      <c r="U177" s="2">
        <f t="shared" si="6"/>
        <v>0.26480238095238096</v>
      </c>
    </row>
    <row r="178" spans="2:21" x14ac:dyDescent="0.3">
      <c r="B178" s="2">
        <v>84500</v>
      </c>
      <c r="C178" s="2">
        <v>1.6899999999999998E-2</v>
      </c>
      <c r="D178" s="2">
        <v>-4.5123749999999999E-3</v>
      </c>
      <c r="E178" s="2">
        <v>0</v>
      </c>
      <c r="F178" s="2">
        <v>0.95204476000000005</v>
      </c>
      <c r="G178" s="2">
        <v>11.473117999999999</v>
      </c>
      <c r="H178" s="2">
        <v>6.3647039999999997</v>
      </c>
      <c r="I178" s="2">
        <v>4.9608220999999997</v>
      </c>
      <c r="J178" s="2">
        <v>5.9760640999999994E-14</v>
      </c>
      <c r="K178" s="2">
        <v>-427448.05</v>
      </c>
      <c r="L178" s="2">
        <v>307.62777</v>
      </c>
      <c r="M178" s="2">
        <v>-186.18979999999999</v>
      </c>
      <c r="N178" s="2">
        <v>76.712901000000002</v>
      </c>
      <c r="O178" s="2">
        <v>65.036421000000004</v>
      </c>
      <c r="P178" s="2">
        <v>0</v>
      </c>
      <c r="R178" s="2">
        <f t="shared" si="5"/>
        <v>4.3311173666249996</v>
      </c>
      <c r="S178" s="2">
        <f t="shared" si="5"/>
        <v>-3.1170383795249999E-3</v>
      </c>
      <c r="T178" s="2">
        <f t="shared" si="5"/>
        <v>1.8865681485E-3</v>
      </c>
      <c r="U178" s="2">
        <f t="shared" si="6"/>
        <v>0.26700443786982253</v>
      </c>
    </row>
    <row r="179" spans="2:21" x14ac:dyDescent="0.3">
      <c r="B179" s="2">
        <v>85000</v>
      </c>
      <c r="C179" s="2">
        <v>1.7000000000000001E-2</v>
      </c>
      <c r="D179" s="2">
        <v>-4.5005855000000003E-3</v>
      </c>
      <c r="E179" s="2">
        <v>0</v>
      </c>
      <c r="F179" s="2">
        <v>0.98230346000000002</v>
      </c>
      <c r="G179" s="2">
        <v>11.603348</v>
      </c>
      <c r="H179" s="2">
        <v>6.4762079000000004</v>
      </c>
      <c r="I179" s="2">
        <v>4.9748577000000003</v>
      </c>
      <c r="J179" s="2">
        <v>5.7102989000000002E-14</v>
      </c>
      <c r="K179" s="2">
        <v>-430491.88</v>
      </c>
      <c r="L179" s="2">
        <v>-314.77731</v>
      </c>
      <c r="M179" s="2">
        <v>-325.76240999999999</v>
      </c>
      <c r="N179" s="2">
        <v>76.720444999999998</v>
      </c>
      <c r="O179" s="2">
        <v>65.037191000000007</v>
      </c>
      <c r="P179" s="2">
        <v>0</v>
      </c>
      <c r="R179" s="2">
        <f t="shared" si="5"/>
        <v>4.3619589741000002</v>
      </c>
      <c r="S179" s="2">
        <f t="shared" si="5"/>
        <v>3.1894810935749998E-3</v>
      </c>
      <c r="T179" s="2">
        <f t="shared" si="5"/>
        <v>3.300787619325E-3</v>
      </c>
      <c r="U179" s="2">
        <f t="shared" si="6"/>
        <v>0.26474032352941174</v>
      </c>
    </row>
    <row r="180" spans="2:21" x14ac:dyDescent="0.3">
      <c r="B180" s="2">
        <v>85500</v>
      </c>
      <c r="C180" s="2">
        <v>1.7100000000000001E-2</v>
      </c>
      <c r="D180" s="2">
        <v>-4.5634921000000002E-3</v>
      </c>
      <c r="E180" s="2">
        <v>0</v>
      </c>
      <c r="F180" s="2">
        <v>0.97030194999999997</v>
      </c>
      <c r="G180" s="2">
        <v>11.739333999999999</v>
      </c>
      <c r="H180" s="2">
        <v>6.5142851999999998</v>
      </c>
      <c r="I180" s="2">
        <v>5.0746270000000004</v>
      </c>
      <c r="J180" s="2">
        <v>5.9122262999999995E-14</v>
      </c>
      <c r="K180" s="2">
        <v>-432446.54</v>
      </c>
      <c r="L180" s="2">
        <v>343.31299000000001</v>
      </c>
      <c r="M180" s="2">
        <v>-407.03129999999999</v>
      </c>
      <c r="N180" s="2">
        <v>76.727988999999994</v>
      </c>
      <c r="O180" s="2">
        <v>65.033081999999993</v>
      </c>
      <c r="P180" s="2">
        <v>0</v>
      </c>
      <c r="R180" s="2">
        <f t="shared" si="5"/>
        <v>4.3817645665499994</v>
      </c>
      <c r="S180" s="2">
        <f t="shared" si="5"/>
        <v>-3.4786188711749999E-3</v>
      </c>
      <c r="T180" s="2">
        <f t="shared" si="5"/>
        <v>4.1242446472500001E-3</v>
      </c>
      <c r="U180" s="2">
        <f t="shared" si="6"/>
        <v>0.26687088304093565</v>
      </c>
    </row>
    <row r="181" spans="2:21" x14ac:dyDescent="0.3">
      <c r="B181" s="2">
        <v>86000</v>
      </c>
      <c r="C181" s="2">
        <v>1.72E-2</v>
      </c>
      <c r="D181" s="2">
        <v>-4.5495850999999997E-3</v>
      </c>
      <c r="E181" s="2">
        <v>0</v>
      </c>
      <c r="F181" s="2">
        <v>1.0404259</v>
      </c>
      <c r="G181" s="2">
        <v>11.875655</v>
      </c>
      <c r="H181" s="2">
        <v>6.6234313</v>
      </c>
      <c r="I181" s="2">
        <v>5.0909310999999997</v>
      </c>
      <c r="J181" s="2">
        <v>5.8765214999999995E-14</v>
      </c>
      <c r="K181" s="2">
        <v>-435425.68</v>
      </c>
      <c r="L181" s="2">
        <v>-417.85160000000002</v>
      </c>
      <c r="M181" s="2">
        <v>-373.28489999999999</v>
      </c>
      <c r="N181" s="2">
        <v>76.735532000000006</v>
      </c>
      <c r="O181" s="2">
        <v>65.033990000000003</v>
      </c>
      <c r="P181" s="2">
        <v>0</v>
      </c>
      <c r="R181" s="2">
        <f t="shared" si="5"/>
        <v>4.4119507025999996</v>
      </c>
      <c r="S181" s="2">
        <f t="shared" si="5"/>
        <v>4.2338813370000001E-3</v>
      </c>
      <c r="T181" s="2">
        <f t="shared" si="5"/>
        <v>3.7823092492499997E-3</v>
      </c>
      <c r="U181" s="2">
        <f t="shared" si="6"/>
        <v>0.26451076162790693</v>
      </c>
    </row>
    <row r="182" spans="2:21" x14ac:dyDescent="0.3">
      <c r="B182" s="2">
        <v>86500</v>
      </c>
      <c r="C182" s="2">
        <v>1.7299999999999999E-2</v>
      </c>
      <c r="D182" s="2">
        <v>-4.6222998999999997E-3</v>
      </c>
      <c r="E182" s="2">
        <v>0</v>
      </c>
      <c r="F182" s="2">
        <v>1.0045693</v>
      </c>
      <c r="G182" s="2">
        <v>12.007289999999999</v>
      </c>
      <c r="H182" s="2">
        <v>6.6662546999999996</v>
      </c>
      <c r="I182" s="2">
        <v>5.1853011000000002</v>
      </c>
      <c r="J182" s="2">
        <v>6.0746075E-14</v>
      </c>
      <c r="K182" s="2">
        <v>-437394.74</v>
      </c>
      <c r="L182" s="2">
        <v>607.53629000000001</v>
      </c>
      <c r="M182" s="2">
        <v>-243.04423</v>
      </c>
      <c r="N182" s="2">
        <v>76.743076000000002</v>
      </c>
      <c r="O182" s="2">
        <v>65.029240000000001</v>
      </c>
      <c r="P182" s="2">
        <v>0</v>
      </c>
      <c r="R182" s="2">
        <f t="shared" si="5"/>
        <v>4.4319022030499999</v>
      </c>
      <c r="S182" s="2">
        <f t="shared" si="5"/>
        <v>-6.1558614584249997E-3</v>
      </c>
      <c r="T182" s="2">
        <f t="shared" si="5"/>
        <v>2.4626456604750001E-3</v>
      </c>
      <c r="U182" s="2">
        <f t="shared" si="6"/>
        <v>0.26718496531791908</v>
      </c>
    </row>
    <row r="183" spans="2:21" x14ac:dyDescent="0.3">
      <c r="B183" s="2">
        <v>87000</v>
      </c>
      <c r="C183" s="2">
        <v>1.7399999999999999E-2</v>
      </c>
      <c r="D183" s="2">
        <v>-4.5864425000000002E-3</v>
      </c>
      <c r="E183" s="2">
        <v>0</v>
      </c>
      <c r="F183" s="2">
        <v>1.0025504000000001</v>
      </c>
      <c r="G183" s="2">
        <v>12.136426</v>
      </c>
      <c r="H183" s="2">
        <v>6.77834</v>
      </c>
      <c r="I183" s="2">
        <v>5.2026645</v>
      </c>
      <c r="J183" s="2">
        <v>5.9104055000000004E-14</v>
      </c>
      <c r="K183" s="2">
        <v>-440389.07</v>
      </c>
      <c r="L183" s="2">
        <v>-902.12116000000003</v>
      </c>
      <c r="M183" s="2">
        <v>-21.556965999999999</v>
      </c>
      <c r="N183" s="2">
        <v>76.750619999999998</v>
      </c>
      <c r="O183" s="2">
        <v>65.031582</v>
      </c>
      <c r="P183" s="2">
        <v>0</v>
      </c>
      <c r="R183" s="2">
        <f t="shared" si="5"/>
        <v>4.4622422517749998</v>
      </c>
      <c r="S183" s="2">
        <f t="shared" si="5"/>
        <v>9.1407426537000007E-3</v>
      </c>
      <c r="T183" s="2">
        <f t="shared" si="5"/>
        <v>2.1842595799499999E-4</v>
      </c>
      <c r="U183" s="2">
        <f t="shared" si="6"/>
        <v>0.26358864942528737</v>
      </c>
    </row>
    <row r="184" spans="2:21" x14ac:dyDescent="0.3">
      <c r="B184" s="2">
        <v>87500</v>
      </c>
      <c r="C184" s="2">
        <v>1.7500000000000002E-2</v>
      </c>
      <c r="D184" s="2">
        <v>-4.6915843999999996E-3</v>
      </c>
      <c r="E184" s="2">
        <v>0</v>
      </c>
      <c r="F184" s="2">
        <v>0.95824255999999997</v>
      </c>
      <c r="G184" s="2">
        <v>12.265942000000001</v>
      </c>
      <c r="H184" s="2">
        <v>6.8162640999999997</v>
      </c>
      <c r="I184" s="2">
        <v>5.3011251000000001</v>
      </c>
      <c r="J184" s="2">
        <v>6.2035931999999994E-14</v>
      </c>
      <c r="K184" s="2">
        <v>-442336.25</v>
      </c>
      <c r="L184" s="2">
        <v>1213.4993999999999</v>
      </c>
      <c r="M184" s="2">
        <v>214.35086000000001</v>
      </c>
      <c r="N184" s="2">
        <v>76.758163999999994</v>
      </c>
      <c r="O184" s="2">
        <v>65.024713000000006</v>
      </c>
      <c r="P184" s="2">
        <v>0</v>
      </c>
      <c r="R184" s="2">
        <f t="shared" si="5"/>
        <v>4.4819720531250002</v>
      </c>
      <c r="S184" s="2">
        <f t="shared" si="5"/>
        <v>-1.2295782670499999E-2</v>
      </c>
      <c r="T184" s="2">
        <f t="shared" si="5"/>
        <v>-2.1719100889500001E-3</v>
      </c>
      <c r="U184" s="2">
        <f t="shared" si="6"/>
        <v>0.26809053714285708</v>
      </c>
    </row>
    <row r="185" spans="2:21" x14ac:dyDescent="0.3">
      <c r="B185" s="2">
        <v>88000</v>
      </c>
      <c r="C185" s="2">
        <v>1.7600000000000001E-2</v>
      </c>
      <c r="D185" s="2">
        <v>-4.6197742000000002E-3</v>
      </c>
      <c r="E185" s="2">
        <v>0</v>
      </c>
      <c r="F185" s="2">
        <v>1.0284629999999999</v>
      </c>
      <c r="G185" s="2">
        <v>12.411534</v>
      </c>
      <c r="H185" s="2">
        <v>6.9364618</v>
      </c>
      <c r="I185" s="2">
        <v>5.3156337999999996</v>
      </c>
      <c r="J185" s="2">
        <v>5.8651749999999995E-14</v>
      </c>
      <c r="K185" s="2">
        <v>-445380.02</v>
      </c>
      <c r="L185" s="2">
        <v>-1467.8054999999999</v>
      </c>
      <c r="M185" s="2">
        <v>385.42423000000002</v>
      </c>
      <c r="N185" s="2">
        <v>76.765708000000004</v>
      </c>
      <c r="O185" s="2">
        <v>65.029404999999997</v>
      </c>
      <c r="P185" s="2">
        <v>0</v>
      </c>
      <c r="R185" s="2">
        <f t="shared" si="5"/>
        <v>4.5128130526500003</v>
      </c>
      <c r="S185" s="2">
        <f t="shared" si="5"/>
        <v>1.4872539228749999E-2</v>
      </c>
      <c r="T185" s="2">
        <f t="shared" si="5"/>
        <v>-3.9053110104750001E-3</v>
      </c>
      <c r="U185" s="2">
        <f t="shared" si="6"/>
        <v>0.26248717045454545</v>
      </c>
    </row>
    <row r="186" spans="2:21" x14ac:dyDescent="0.3">
      <c r="B186" s="2">
        <v>88500</v>
      </c>
      <c r="C186" s="2">
        <v>1.77E-2</v>
      </c>
      <c r="D186" s="2">
        <v>-4.7560794999999996E-3</v>
      </c>
      <c r="E186" s="2">
        <v>0</v>
      </c>
      <c r="F186" s="2">
        <v>1.0011569</v>
      </c>
      <c r="G186" s="2">
        <v>12.553077</v>
      </c>
      <c r="H186" s="2">
        <v>6.9763561999999997</v>
      </c>
      <c r="I186" s="2">
        <v>5.4215150000000003</v>
      </c>
      <c r="J186" s="2">
        <v>6.0381256000000005E-14</v>
      </c>
      <c r="K186" s="2">
        <v>-447238.66</v>
      </c>
      <c r="L186" s="2">
        <v>1641.6053999999999</v>
      </c>
      <c r="M186" s="2">
        <v>394.41710999999998</v>
      </c>
      <c r="N186" s="2">
        <v>76.773251000000002</v>
      </c>
      <c r="O186" s="2">
        <v>65.020499999999998</v>
      </c>
      <c r="P186" s="2">
        <v>0</v>
      </c>
      <c r="R186" s="2">
        <f t="shared" si="5"/>
        <v>4.5316457224499995</v>
      </c>
      <c r="S186" s="2">
        <f t="shared" si="5"/>
        <v>-1.6633566715499998E-2</v>
      </c>
      <c r="T186" s="2">
        <f t="shared" si="5"/>
        <v>-3.9964313670749997E-3</v>
      </c>
      <c r="U186" s="2">
        <f t="shared" si="6"/>
        <v>0.26870505649717513</v>
      </c>
    </row>
    <row r="187" spans="2:21" x14ac:dyDescent="0.3">
      <c r="B187" s="2">
        <v>89000</v>
      </c>
      <c r="C187" s="2">
        <v>1.78E-2</v>
      </c>
      <c r="D187" s="2">
        <v>-4.6632595999999997E-3</v>
      </c>
      <c r="E187" s="2">
        <v>0</v>
      </c>
      <c r="F187" s="2">
        <v>1.0306607000000001</v>
      </c>
      <c r="G187" s="2">
        <v>12.693648</v>
      </c>
      <c r="H187" s="2">
        <v>7.0992382999999997</v>
      </c>
      <c r="I187" s="2">
        <v>5.4346303999999996</v>
      </c>
      <c r="J187" s="2">
        <v>6.1813220999999998E-14</v>
      </c>
      <c r="K187" s="2">
        <v>-450325.99</v>
      </c>
      <c r="L187" s="2">
        <v>-1723.2236</v>
      </c>
      <c r="M187" s="2">
        <v>237.16641999999999</v>
      </c>
      <c r="N187" s="2">
        <v>76.780794999999998</v>
      </c>
      <c r="O187" s="2">
        <v>65.026563999999993</v>
      </c>
      <c r="P187" s="2">
        <v>0</v>
      </c>
      <c r="R187" s="2">
        <f t="shared" si="5"/>
        <v>4.5629280936749996</v>
      </c>
      <c r="S187" s="2">
        <f t="shared" si="5"/>
        <v>1.7460563126999999E-2</v>
      </c>
      <c r="T187" s="2">
        <f t="shared" si="5"/>
        <v>-2.4030887506499999E-3</v>
      </c>
      <c r="U187" s="2">
        <f t="shared" si="6"/>
        <v>0.26198087640449436</v>
      </c>
    </row>
    <row r="188" spans="2:21" x14ac:dyDescent="0.3">
      <c r="B188" s="2">
        <v>89500</v>
      </c>
      <c r="C188" s="2">
        <v>1.7899999999999999E-2</v>
      </c>
      <c r="D188" s="2">
        <v>-4.8087505000000003E-3</v>
      </c>
      <c r="E188" s="2">
        <v>0</v>
      </c>
      <c r="F188" s="2">
        <v>1.0611409999999999</v>
      </c>
      <c r="G188" s="2">
        <v>12.835813999999999</v>
      </c>
      <c r="H188" s="2">
        <v>7.1310009000000001</v>
      </c>
      <c r="I188" s="2">
        <v>5.5403091</v>
      </c>
      <c r="J188" s="2">
        <v>5.8504535000000001E-14</v>
      </c>
      <c r="K188" s="2">
        <v>-452182.46</v>
      </c>
      <c r="L188" s="2">
        <v>1692.3997999999999</v>
      </c>
      <c r="M188" s="2">
        <v>-54.321069999999999</v>
      </c>
      <c r="N188" s="2">
        <v>76.788338999999993</v>
      </c>
      <c r="O188" s="2">
        <v>65.017059000000003</v>
      </c>
      <c r="P188" s="2">
        <v>0</v>
      </c>
      <c r="R188" s="2">
        <f t="shared" si="5"/>
        <v>4.5817387759499999</v>
      </c>
      <c r="S188" s="2">
        <f t="shared" si="5"/>
        <v>-1.7148240973499998E-2</v>
      </c>
      <c r="T188" s="2">
        <f t="shared" si="5"/>
        <v>5.5040824177500004E-4</v>
      </c>
      <c r="U188" s="2">
        <f t="shared" si="6"/>
        <v>0.26864527932960897</v>
      </c>
    </row>
    <row r="189" spans="2:21" x14ac:dyDescent="0.3">
      <c r="B189" s="2">
        <v>90000</v>
      </c>
      <c r="C189" s="2">
        <v>1.7999999999999999E-2</v>
      </c>
      <c r="D189" s="2">
        <v>-4.7211702000000003E-3</v>
      </c>
      <c r="E189" s="2">
        <v>0</v>
      </c>
      <c r="F189" s="2">
        <v>1.0066044000000001</v>
      </c>
      <c r="G189" s="2">
        <v>12.960635999999999</v>
      </c>
      <c r="H189" s="2">
        <v>7.2521711</v>
      </c>
      <c r="I189" s="2">
        <v>5.5524148000000002</v>
      </c>
      <c r="J189" s="2">
        <v>5.7889248999999996E-14</v>
      </c>
      <c r="K189" s="2">
        <v>-455257.73</v>
      </c>
      <c r="L189" s="2">
        <v>-1510.4507000000001</v>
      </c>
      <c r="M189" s="2">
        <v>-309.68831999999998</v>
      </c>
      <c r="N189" s="2">
        <v>76.795883000000003</v>
      </c>
      <c r="O189" s="2">
        <v>65.022779999999997</v>
      </c>
      <c r="P189" s="2">
        <v>0</v>
      </c>
      <c r="R189" s="2">
        <f t="shared" si="5"/>
        <v>4.6128989492249994</v>
      </c>
      <c r="S189" s="2">
        <f t="shared" si="5"/>
        <v>1.5304641717750001E-2</v>
      </c>
      <c r="T189" s="2">
        <f t="shared" si="5"/>
        <v>3.1379169023999999E-3</v>
      </c>
      <c r="U189" s="2">
        <f t="shared" si="6"/>
        <v>0.26228723333333337</v>
      </c>
    </row>
    <row r="190" spans="2:21" x14ac:dyDescent="0.3">
      <c r="B190" s="2">
        <v>90500</v>
      </c>
      <c r="C190" s="2">
        <v>1.8100000000000002E-2</v>
      </c>
      <c r="D190" s="2">
        <v>-4.8414099000000004E-3</v>
      </c>
      <c r="E190" s="2">
        <v>0</v>
      </c>
      <c r="F190" s="2">
        <v>1.0551773</v>
      </c>
      <c r="G190" s="2">
        <v>13.097203</v>
      </c>
      <c r="H190" s="2">
        <v>7.2872599999999998</v>
      </c>
      <c r="I190" s="2">
        <v>5.6463633</v>
      </c>
      <c r="J190" s="2">
        <v>5.9222405000000002E-14</v>
      </c>
      <c r="K190" s="2">
        <v>-457203.19</v>
      </c>
      <c r="L190" s="2">
        <v>1137.5434</v>
      </c>
      <c r="M190" s="2">
        <v>-405.12997000000001</v>
      </c>
      <c r="N190" s="2">
        <v>76.803426999999999</v>
      </c>
      <c r="O190" s="2">
        <v>65.014925000000005</v>
      </c>
      <c r="P190" s="2">
        <v>0</v>
      </c>
      <c r="R190" s="2">
        <f t="shared" si="5"/>
        <v>4.6326113226750003</v>
      </c>
      <c r="S190" s="2">
        <f t="shared" si="5"/>
        <v>-1.1526158500500001E-2</v>
      </c>
      <c r="T190" s="2">
        <f t="shared" si="5"/>
        <v>4.1049794210250004E-3</v>
      </c>
      <c r="U190" s="2">
        <f t="shared" si="6"/>
        <v>0.26748120994475139</v>
      </c>
    </row>
    <row r="191" spans="2:21" x14ac:dyDescent="0.3">
      <c r="B191" s="2">
        <v>91000</v>
      </c>
      <c r="C191" s="2">
        <v>1.8200000000000001E-2</v>
      </c>
      <c r="D191" s="2">
        <v>-4.7973846999999998E-3</v>
      </c>
      <c r="E191" s="2">
        <v>0</v>
      </c>
      <c r="F191" s="2">
        <v>0.98039491999999995</v>
      </c>
      <c r="G191" s="2">
        <v>13.244300000000001</v>
      </c>
      <c r="H191" s="2">
        <v>7.4139181000000001</v>
      </c>
      <c r="I191" s="2">
        <v>5.6783951000000004</v>
      </c>
      <c r="J191" s="2">
        <v>6.1593397000000006E-14</v>
      </c>
      <c r="K191" s="2">
        <v>-460131.38</v>
      </c>
      <c r="L191" s="2">
        <v>-710.22883999999999</v>
      </c>
      <c r="M191" s="2">
        <v>-267.14904000000001</v>
      </c>
      <c r="N191" s="2">
        <v>76.810969999999998</v>
      </c>
      <c r="O191" s="2">
        <v>65.017801000000006</v>
      </c>
      <c r="P191" s="2">
        <v>0</v>
      </c>
      <c r="R191" s="2">
        <f t="shared" si="5"/>
        <v>4.6622812078500004</v>
      </c>
      <c r="S191" s="2">
        <f t="shared" si="5"/>
        <v>7.1963937212999995E-3</v>
      </c>
      <c r="T191" s="2">
        <f t="shared" si="5"/>
        <v>2.7068876478000001E-3</v>
      </c>
      <c r="U191" s="2">
        <f t="shared" si="6"/>
        <v>0.26359256593406594</v>
      </c>
    </row>
    <row r="192" spans="2:21" x14ac:dyDescent="0.3">
      <c r="B192" s="2">
        <v>91500</v>
      </c>
      <c r="C192" s="2">
        <v>1.83E-2</v>
      </c>
      <c r="D192" s="2">
        <v>-4.8720687999999996E-3</v>
      </c>
      <c r="E192" s="2">
        <v>0</v>
      </c>
      <c r="F192" s="2">
        <v>1.0323078000000001</v>
      </c>
      <c r="G192" s="2">
        <v>13.384150999999999</v>
      </c>
      <c r="H192" s="2">
        <v>7.4569026000000003</v>
      </c>
      <c r="I192" s="2">
        <v>5.7672141999999997</v>
      </c>
      <c r="J192" s="2">
        <v>6.0695227000000004E-14</v>
      </c>
      <c r="K192" s="2">
        <v>-462187.89</v>
      </c>
      <c r="L192" s="2">
        <v>487.83915999999999</v>
      </c>
      <c r="M192" s="2">
        <v>38.739724000000002</v>
      </c>
      <c r="N192" s="2">
        <v>76.818513999999993</v>
      </c>
      <c r="O192" s="2">
        <v>65.012922000000003</v>
      </c>
      <c r="P192" s="2">
        <v>0</v>
      </c>
      <c r="R192" s="2">
        <f t="shared" si="5"/>
        <v>4.683118795425</v>
      </c>
      <c r="S192" s="2">
        <f t="shared" si="5"/>
        <v>-4.9430302886999998E-3</v>
      </c>
      <c r="T192" s="2">
        <f t="shared" si="5"/>
        <v>-3.9253025343000001E-4</v>
      </c>
      <c r="U192" s="2">
        <f t="shared" si="6"/>
        <v>0.2662332677595628</v>
      </c>
    </row>
    <row r="193" spans="2:21" x14ac:dyDescent="0.3">
      <c r="B193" s="2">
        <v>92000</v>
      </c>
      <c r="C193" s="2">
        <v>1.84E-2</v>
      </c>
      <c r="D193" s="2">
        <v>-4.8576569E-3</v>
      </c>
      <c r="E193" s="2">
        <v>0</v>
      </c>
      <c r="F193" s="2">
        <v>1.002459</v>
      </c>
      <c r="G193" s="2">
        <v>13.527028</v>
      </c>
      <c r="H193" s="2">
        <v>7.5734652000000002</v>
      </c>
      <c r="I193" s="2">
        <v>5.7981558</v>
      </c>
      <c r="J193" s="2">
        <v>5.9306782000000001E-14</v>
      </c>
      <c r="K193" s="2">
        <v>-465054.37</v>
      </c>
      <c r="L193" s="2">
        <v>-405.39857000000001</v>
      </c>
      <c r="M193" s="2">
        <v>315.08035000000001</v>
      </c>
      <c r="N193" s="2">
        <v>76.826058000000003</v>
      </c>
      <c r="O193" s="2">
        <v>65.013863999999998</v>
      </c>
      <c r="P193" s="2">
        <v>0</v>
      </c>
      <c r="R193" s="2">
        <f t="shared" si="5"/>
        <v>4.7121634040249996</v>
      </c>
      <c r="S193" s="2">
        <f t="shared" si="5"/>
        <v>4.1077010105250002E-3</v>
      </c>
      <c r="T193" s="2">
        <f t="shared" si="5"/>
        <v>-3.192551646375E-3</v>
      </c>
      <c r="U193" s="2">
        <f t="shared" si="6"/>
        <v>0.26400309239130437</v>
      </c>
    </row>
    <row r="194" spans="2:21" x14ac:dyDescent="0.3">
      <c r="B194" s="2">
        <v>92500</v>
      </c>
      <c r="C194" s="2">
        <v>1.8499999999999999E-2</v>
      </c>
      <c r="D194" s="2">
        <v>-4.92145E-3</v>
      </c>
      <c r="E194" s="2">
        <v>0</v>
      </c>
      <c r="F194" s="2">
        <v>1.0235474</v>
      </c>
      <c r="G194" s="2">
        <v>13.674077</v>
      </c>
      <c r="H194" s="2">
        <v>7.6196799000000004</v>
      </c>
      <c r="I194" s="2">
        <v>5.8957204000000001</v>
      </c>
      <c r="J194" s="2">
        <v>5.7905901999999996E-14</v>
      </c>
      <c r="K194" s="2">
        <v>-467086.47</v>
      </c>
      <c r="L194" s="2">
        <v>384.86311999999998</v>
      </c>
      <c r="M194" s="2">
        <v>401.45287000000002</v>
      </c>
      <c r="N194" s="2">
        <v>76.833601999999999</v>
      </c>
      <c r="O194" s="2">
        <v>65.009696000000005</v>
      </c>
      <c r="P194" s="2">
        <v>0</v>
      </c>
      <c r="R194" s="2">
        <f t="shared" si="5"/>
        <v>4.7327536572749995</v>
      </c>
      <c r="S194" s="2">
        <f t="shared" si="5"/>
        <v>-3.8996255633999997E-3</v>
      </c>
      <c r="T194" s="2">
        <f t="shared" si="5"/>
        <v>-4.067721205275E-3</v>
      </c>
      <c r="U194" s="2">
        <f t="shared" si="6"/>
        <v>0.26602432432432432</v>
      </c>
    </row>
    <row r="195" spans="2:21" x14ac:dyDescent="0.3">
      <c r="B195" s="2">
        <v>93000</v>
      </c>
      <c r="C195" s="2">
        <v>1.8599999999999998E-2</v>
      </c>
      <c r="D195" s="2">
        <v>-4.9063930999999998E-3</v>
      </c>
      <c r="E195" s="2">
        <v>0</v>
      </c>
      <c r="F195" s="2">
        <v>1.0094468000000001</v>
      </c>
      <c r="G195" s="2">
        <v>13.821866</v>
      </c>
      <c r="H195" s="2">
        <v>7.7497961000000002</v>
      </c>
      <c r="I195" s="2">
        <v>5.9155797000000003</v>
      </c>
      <c r="J195" s="2">
        <v>5.8278493000000005E-14</v>
      </c>
      <c r="K195" s="2">
        <v>-470049.26</v>
      </c>
      <c r="L195" s="2">
        <v>-392.33161000000001</v>
      </c>
      <c r="M195" s="2">
        <v>187.78373999999999</v>
      </c>
      <c r="N195" s="2">
        <v>76.841145999999995</v>
      </c>
      <c r="O195" s="2">
        <v>65.010679999999994</v>
      </c>
      <c r="P195" s="2">
        <v>0</v>
      </c>
      <c r="R195" s="2">
        <f t="shared" si="5"/>
        <v>4.7627741269500001</v>
      </c>
      <c r="S195" s="2">
        <f t="shared" si="5"/>
        <v>3.9753000383250005E-3</v>
      </c>
      <c r="T195" s="2">
        <f t="shared" si="5"/>
        <v>-1.9027187455499998E-3</v>
      </c>
      <c r="U195" s="2">
        <f t="shared" si="6"/>
        <v>0.26378457526881721</v>
      </c>
    </row>
    <row r="196" spans="2:21" x14ac:dyDescent="0.3">
      <c r="B196" s="2">
        <v>93500</v>
      </c>
      <c r="C196" s="2">
        <v>1.8700000000000001E-2</v>
      </c>
      <c r="D196" s="2">
        <v>-4.9746859000000003E-3</v>
      </c>
      <c r="E196" s="2">
        <v>0</v>
      </c>
      <c r="F196" s="2">
        <v>1.0640727000000001</v>
      </c>
      <c r="G196" s="2">
        <v>13.966631</v>
      </c>
      <c r="H196" s="2">
        <v>7.7825740000000003</v>
      </c>
      <c r="I196" s="2">
        <v>6.0190979000000002</v>
      </c>
      <c r="J196" s="2">
        <v>6.1637805999999994E-14</v>
      </c>
      <c r="K196" s="2">
        <v>-471979.35</v>
      </c>
      <c r="L196" s="2">
        <v>423.18752999999998</v>
      </c>
      <c r="M196" s="2">
        <v>-167.00660999999999</v>
      </c>
      <c r="N196" s="2">
        <v>76.848688999999993</v>
      </c>
      <c r="O196" s="2">
        <v>65.006218000000004</v>
      </c>
      <c r="P196" s="2">
        <v>0</v>
      </c>
      <c r="R196" s="2">
        <f t="shared" si="5"/>
        <v>4.7823307638749997</v>
      </c>
      <c r="S196" s="2">
        <f t="shared" si="5"/>
        <v>-4.2879476477249998E-3</v>
      </c>
      <c r="T196" s="2">
        <f t="shared" si="5"/>
        <v>1.692194475825E-3</v>
      </c>
      <c r="U196" s="2">
        <f t="shared" si="6"/>
        <v>0.26602598395721927</v>
      </c>
    </row>
    <row r="197" spans="2:21" x14ac:dyDescent="0.3">
      <c r="B197" s="2">
        <v>94000</v>
      </c>
      <c r="C197" s="2">
        <v>1.8800000000000001E-2</v>
      </c>
      <c r="D197" s="2">
        <v>-4.9530205000000004E-3</v>
      </c>
      <c r="E197" s="2">
        <v>0</v>
      </c>
      <c r="F197" s="2">
        <v>0.98574408000000002</v>
      </c>
      <c r="G197" s="2">
        <v>14.101101999999999</v>
      </c>
      <c r="H197" s="2">
        <v>7.9138070999999997</v>
      </c>
      <c r="I197" s="2">
        <v>6.0344787000000002</v>
      </c>
      <c r="J197" s="2">
        <v>5.9960702999999997E-14</v>
      </c>
      <c r="K197" s="2">
        <v>-475016.07</v>
      </c>
      <c r="L197" s="2">
        <v>-509.83163999999999</v>
      </c>
      <c r="M197" s="2">
        <v>-395.48923000000002</v>
      </c>
      <c r="N197" s="2">
        <v>76.856233000000003</v>
      </c>
      <c r="O197" s="2">
        <v>65.007632999999998</v>
      </c>
      <c r="P197" s="2">
        <v>0</v>
      </c>
      <c r="R197" s="2">
        <f t="shared" si="5"/>
        <v>4.8131003292749996</v>
      </c>
      <c r="S197" s="2">
        <f t="shared" si="5"/>
        <v>5.1658690923000001E-3</v>
      </c>
      <c r="T197" s="2">
        <f t="shared" si="5"/>
        <v>4.0072946229750004E-3</v>
      </c>
      <c r="U197" s="2">
        <f t="shared" si="6"/>
        <v>0.26345853723404256</v>
      </c>
    </row>
    <row r="198" spans="2:21" x14ac:dyDescent="0.3">
      <c r="B198" s="2">
        <v>94500</v>
      </c>
      <c r="C198" s="2">
        <v>1.89E-2</v>
      </c>
      <c r="D198" s="2">
        <v>-5.0317327000000004E-3</v>
      </c>
      <c r="E198" s="2">
        <v>0</v>
      </c>
      <c r="F198" s="2">
        <v>0.97720505999999996</v>
      </c>
      <c r="G198" s="2">
        <v>14.244609000000001</v>
      </c>
      <c r="H198" s="2">
        <v>7.9497013000000001</v>
      </c>
      <c r="I198" s="2">
        <v>6.1434154999999997</v>
      </c>
      <c r="J198" s="2">
        <v>5.9022121000000001E-14</v>
      </c>
      <c r="K198" s="2">
        <v>-476869.89</v>
      </c>
      <c r="L198" s="2">
        <v>588.20622000000003</v>
      </c>
      <c r="M198" s="2">
        <v>-300.27292999999997</v>
      </c>
      <c r="N198" s="2">
        <v>76.863776999999999</v>
      </c>
      <c r="O198" s="2">
        <v>65.002491000000006</v>
      </c>
      <c r="P198" s="2">
        <v>0</v>
      </c>
      <c r="R198" s="2">
        <f t="shared" si="5"/>
        <v>4.831884160425</v>
      </c>
      <c r="S198" s="2">
        <f t="shared" si="5"/>
        <v>-5.95999952415E-3</v>
      </c>
      <c r="T198" s="2">
        <f t="shared" si="5"/>
        <v>3.0425154632249996E-3</v>
      </c>
      <c r="U198" s="2">
        <f t="shared" si="6"/>
        <v>0.26622924338624343</v>
      </c>
    </row>
    <row r="199" spans="2:21" x14ac:dyDescent="0.3">
      <c r="B199" s="2">
        <v>95000</v>
      </c>
      <c r="C199" s="2">
        <v>1.9E-2</v>
      </c>
      <c r="D199" s="2">
        <v>-5.0055541999999998E-3</v>
      </c>
      <c r="E199" s="2">
        <v>0</v>
      </c>
      <c r="F199" s="2">
        <v>1.0245360999999999</v>
      </c>
      <c r="G199" s="2">
        <v>14.395996999999999</v>
      </c>
      <c r="H199" s="2">
        <v>8.0762119000000006</v>
      </c>
      <c r="I199" s="2">
        <v>6.1609549000000001</v>
      </c>
      <c r="J199" s="2">
        <v>6.0548898999999994E-14</v>
      </c>
      <c r="K199" s="2">
        <v>-479950.85</v>
      </c>
      <c r="L199" s="2">
        <v>-456.00466</v>
      </c>
      <c r="M199" s="2">
        <v>55.145460999999997</v>
      </c>
      <c r="N199" s="2">
        <v>76.871320999999995</v>
      </c>
      <c r="O199" s="2">
        <v>65.004200999999995</v>
      </c>
      <c r="P199" s="2">
        <v>0</v>
      </c>
      <c r="R199" s="2">
        <f t="shared" si="5"/>
        <v>4.8631019876249999</v>
      </c>
      <c r="S199" s="2">
        <f t="shared" si="5"/>
        <v>4.6204672174500003E-3</v>
      </c>
      <c r="T199" s="2">
        <f t="shared" si="5"/>
        <v>-5.5876138358249992E-4</v>
      </c>
      <c r="U199" s="2">
        <f t="shared" si="6"/>
        <v>0.26345022105263155</v>
      </c>
    </row>
    <row r="200" spans="2:21" x14ac:dyDescent="0.3">
      <c r="B200" s="2">
        <v>95500</v>
      </c>
      <c r="C200" s="2">
        <v>1.9099999999999999E-2</v>
      </c>
      <c r="D200" s="2">
        <v>-5.0680222999999998E-3</v>
      </c>
      <c r="E200" s="2">
        <v>0</v>
      </c>
      <c r="F200" s="2">
        <v>1.0582402</v>
      </c>
      <c r="G200" s="2">
        <v>14.549251999999999</v>
      </c>
      <c r="H200" s="2">
        <v>8.1208457000000003</v>
      </c>
      <c r="I200" s="2">
        <v>6.2643512000000001</v>
      </c>
      <c r="J200" s="2">
        <v>5.8440807999999995E-14</v>
      </c>
      <c r="K200" s="2">
        <v>-481874.05</v>
      </c>
      <c r="L200" s="2">
        <v>174.90208999999999</v>
      </c>
      <c r="M200" s="2">
        <v>385.17997000000003</v>
      </c>
      <c r="N200" s="2">
        <v>76.878865000000005</v>
      </c>
      <c r="O200" s="2">
        <v>65.000119999999995</v>
      </c>
      <c r="P200" s="2">
        <v>0</v>
      </c>
      <c r="R200" s="2">
        <f t="shared" si="5"/>
        <v>4.8825888116250002</v>
      </c>
      <c r="S200" s="2">
        <f t="shared" si="5"/>
        <v>-1.7721954269249998E-3</v>
      </c>
      <c r="T200" s="2">
        <f t="shared" si="5"/>
        <v>-3.9028360460250005E-3</v>
      </c>
      <c r="U200" s="2">
        <f t="shared" si="6"/>
        <v>0.26534148167539268</v>
      </c>
    </row>
    <row r="201" spans="2:21" x14ac:dyDescent="0.3">
      <c r="B201" s="2">
        <v>96000</v>
      </c>
      <c r="C201" s="2">
        <v>1.9199999999999998E-2</v>
      </c>
      <c r="D201" s="2">
        <v>-5.0782151000000001E-3</v>
      </c>
      <c r="E201" s="2">
        <v>0</v>
      </c>
      <c r="F201" s="2">
        <v>1.0321667000000001</v>
      </c>
      <c r="G201" s="2">
        <v>14.693903000000001</v>
      </c>
      <c r="H201" s="2">
        <v>8.2372680000000003</v>
      </c>
      <c r="I201" s="2">
        <v>6.2966223000000001</v>
      </c>
      <c r="J201" s="2">
        <v>6.1298744E-14</v>
      </c>
      <c r="K201" s="2">
        <v>-484761.28</v>
      </c>
      <c r="L201" s="2">
        <v>157.72515000000001</v>
      </c>
      <c r="M201" s="2">
        <v>332.31542000000002</v>
      </c>
      <c r="N201" s="2">
        <v>76.886408000000003</v>
      </c>
      <c r="O201" s="2">
        <v>64.999454</v>
      </c>
      <c r="P201" s="2">
        <v>0</v>
      </c>
      <c r="R201" s="2">
        <f t="shared" si="5"/>
        <v>4.9118436696000005</v>
      </c>
      <c r="S201" s="2">
        <f t="shared" si="5"/>
        <v>-1.5981500823750001E-3</v>
      </c>
      <c r="T201" s="2">
        <f t="shared" si="5"/>
        <v>-3.3671859931500001E-3</v>
      </c>
      <c r="U201" s="2">
        <f t="shared" si="6"/>
        <v>0.26449036979166668</v>
      </c>
    </row>
    <row r="202" spans="2:21" x14ac:dyDescent="0.3">
      <c r="B202" s="2">
        <v>96500</v>
      </c>
      <c r="C202" s="2">
        <v>1.9300000000000001E-2</v>
      </c>
      <c r="D202" s="2">
        <v>-5.0944006999999996E-3</v>
      </c>
      <c r="E202" s="2">
        <v>0</v>
      </c>
      <c r="F202" s="2">
        <v>1.0024101000000001</v>
      </c>
      <c r="G202" s="2">
        <v>14.838870999999999</v>
      </c>
      <c r="H202" s="2">
        <v>8.3064719999999994</v>
      </c>
      <c r="I202" s="2">
        <v>6.3769989999999996</v>
      </c>
      <c r="J202" s="2">
        <v>6.2145178000000003E-14</v>
      </c>
      <c r="K202" s="2">
        <v>-486959.19</v>
      </c>
      <c r="L202" s="2">
        <v>-476.01215000000002</v>
      </c>
      <c r="M202" s="2">
        <v>-67.033080999999996</v>
      </c>
      <c r="N202" s="2">
        <v>76.893951999999999</v>
      </c>
      <c r="O202" s="2">
        <v>64.998396999999997</v>
      </c>
      <c r="P202" s="2">
        <v>0</v>
      </c>
      <c r="R202" s="2">
        <f t="shared" ref="R202:T209" si="7">-K202*$B$3</f>
        <v>4.9341139926749999</v>
      </c>
      <c r="S202" s="2">
        <f t="shared" si="7"/>
        <v>4.8231931098750005E-3</v>
      </c>
      <c r="T202" s="2">
        <f t="shared" si="7"/>
        <v>6.7921269323249994E-4</v>
      </c>
      <c r="U202" s="2">
        <f t="shared" ref="U202:U209" si="8">-D202/C202</f>
        <v>0.26395858549222795</v>
      </c>
    </row>
    <row r="203" spans="2:21" x14ac:dyDescent="0.3">
      <c r="B203" s="2">
        <v>97000</v>
      </c>
      <c r="C203" s="2">
        <v>1.9400000000000001E-2</v>
      </c>
      <c r="D203" s="2">
        <v>-5.1527899000000004E-3</v>
      </c>
      <c r="E203" s="2">
        <v>0</v>
      </c>
      <c r="F203" s="2">
        <v>0.97256403000000002</v>
      </c>
      <c r="G203" s="2">
        <v>14.982257000000001</v>
      </c>
      <c r="H203" s="2">
        <v>8.3941365999999995</v>
      </c>
      <c r="I203" s="2">
        <v>6.4373472999999999</v>
      </c>
      <c r="J203" s="2">
        <v>5.9114713000000003E-14</v>
      </c>
      <c r="K203" s="2">
        <v>-489485.55</v>
      </c>
      <c r="L203" s="2">
        <v>733.95326</v>
      </c>
      <c r="M203" s="2">
        <v>-393.91802000000001</v>
      </c>
      <c r="N203" s="2">
        <v>76.901495999999995</v>
      </c>
      <c r="O203" s="2">
        <v>64.994581999999994</v>
      </c>
      <c r="P203" s="2">
        <v>0</v>
      </c>
      <c r="R203" s="2">
        <f t="shared" si="7"/>
        <v>4.9597123353749994</v>
      </c>
      <c r="S203" s="2">
        <f t="shared" si="7"/>
        <v>-7.4367814069499997E-3</v>
      </c>
      <c r="T203" s="2">
        <f t="shared" si="7"/>
        <v>3.9913743376499998E-3</v>
      </c>
      <c r="U203" s="2">
        <f t="shared" si="8"/>
        <v>0.2656077268041237</v>
      </c>
    </row>
    <row r="204" spans="2:21" x14ac:dyDescent="0.3">
      <c r="B204" s="2">
        <v>97500</v>
      </c>
      <c r="C204" s="2">
        <v>1.95E-2</v>
      </c>
      <c r="D204" s="2">
        <v>-5.1252169999999996E-3</v>
      </c>
      <c r="E204" s="2">
        <v>0</v>
      </c>
      <c r="F204" s="2">
        <v>1.0012445999999999</v>
      </c>
      <c r="G204" s="2">
        <v>15.132388000000001</v>
      </c>
      <c r="H204" s="2">
        <v>8.4943536999999996</v>
      </c>
      <c r="I204" s="2">
        <v>6.4828153999999998</v>
      </c>
      <c r="J204" s="2">
        <v>6.0908833999999998E-14</v>
      </c>
      <c r="K204" s="2">
        <v>-492102.28</v>
      </c>
      <c r="L204" s="2">
        <v>-895.65749000000005</v>
      </c>
      <c r="M204" s="2">
        <v>-285.87934000000001</v>
      </c>
      <c r="N204" s="2">
        <v>76.909040000000005</v>
      </c>
      <c r="O204" s="2">
        <v>64.996382999999994</v>
      </c>
      <c r="P204" s="2">
        <v>0</v>
      </c>
      <c r="R204" s="2">
        <f t="shared" si="7"/>
        <v>4.9862263521000001</v>
      </c>
      <c r="S204" s="2">
        <f t="shared" si="7"/>
        <v>9.0752495174250009E-3</v>
      </c>
      <c r="T204" s="2">
        <f t="shared" si="7"/>
        <v>2.8966724125500001E-3</v>
      </c>
      <c r="U204" s="2">
        <f t="shared" si="8"/>
        <v>0.26283164102564099</v>
      </c>
    </row>
    <row r="205" spans="2:21" x14ac:dyDescent="0.3">
      <c r="B205" s="2">
        <v>98000</v>
      </c>
      <c r="C205" s="2">
        <v>1.9599999999999999E-2</v>
      </c>
      <c r="D205" s="2">
        <v>-5.2171617999999999E-3</v>
      </c>
      <c r="E205" s="2">
        <v>0</v>
      </c>
      <c r="F205" s="2">
        <v>0.97838574</v>
      </c>
      <c r="G205" s="2">
        <v>15.289573000000001</v>
      </c>
      <c r="H205" s="2">
        <v>8.5546208000000004</v>
      </c>
      <c r="I205" s="2">
        <v>6.5832772000000004</v>
      </c>
      <c r="J205" s="2">
        <v>6.2297277999999995E-14</v>
      </c>
      <c r="K205" s="2">
        <v>-494185.83</v>
      </c>
      <c r="L205" s="2">
        <v>944.39052000000004</v>
      </c>
      <c r="M205" s="2">
        <v>158.15566000000001</v>
      </c>
      <c r="N205" s="2">
        <v>76.916584</v>
      </c>
      <c r="O205" s="2">
        <v>64.990376999999995</v>
      </c>
      <c r="P205" s="2">
        <v>0</v>
      </c>
      <c r="R205" s="2">
        <f t="shared" si="7"/>
        <v>5.0073379224750001</v>
      </c>
      <c r="S205" s="2">
        <f t="shared" si="7"/>
        <v>-9.5690369439000011E-3</v>
      </c>
      <c r="T205" s="2">
        <f t="shared" si="7"/>
        <v>-1.6025122249500002E-3</v>
      </c>
      <c r="U205" s="2">
        <f t="shared" si="8"/>
        <v>0.26618172448979593</v>
      </c>
    </row>
    <row r="206" spans="2:21" x14ac:dyDescent="0.3">
      <c r="B206" s="2">
        <v>98500</v>
      </c>
      <c r="C206" s="2">
        <v>1.9699999999999999E-2</v>
      </c>
      <c r="D206" s="2">
        <v>-5.1703766000000002E-3</v>
      </c>
      <c r="E206" s="2">
        <v>0</v>
      </c>
      <c r="F206" s="2">
        <v>0.99802294999999996</v>
      </c>
      <c r="G206" s="2">
        <v>15.439874</v>
      </c>
      <c r="H206" s="2">
        <v>8.6843897000000005</v>
      </c>
      <c r="I206" s="2">
        <v>6.600765</v>
      </c>
      <c r="J206" s="2">
        <v>5.9464210999999999E-14</v>
      </c>
      <c r="K206" s="2">
        <v>-497197.92</v>
      </c>
      <c r="L206" s="2">
        <v>-873.22238000000004</v>
      </c>
      <c r="M206" s="2">
        <v>408.08724000000001</v>
      </c>
      <c r="N206" s="2">
        <v>76.924126999999999</v>
      </c>
      <c r="O206" s="2">
        <v>64.993432999999996</v>
      </c>
      <c r="P206" s="2">
        <v>0</v>
      </c>
      <c r="R206" s="2">
        <f t="shared" si="7"/>
        <v>5.0378579243999999</v>
      </c>
      <c r="S206" s="2">
        <f t="shared" si="7"/>
        <v>8.8479257653499999E-3</v>
      </c>
      <c r="T206" s="2">
        <f t="shared" si="7"/>
        <v>-4.1349439593E-3</v>
      </c>
      <c r="U206" s="2">
        <f t="shared" si="8"/>
        <v>0.26245566497461931</v>
      </c>
    </row>
    <row r="207" spans="2:21" x14ac:dyDescent="0.3">
      <c r="B207" s="2">
        <v>99000</v>
      </c>
      <c r="C207" s="2">
        <v>1.9800000000000002E-2</v>
      </c>
      <c r="D207" s="2">
        <v>-5.2629996000000002E-3</v>
      </c>
      <c r="E207" s="2">
        <v>0</v>
      </c>
      <c r="F207" s="2">
        <v>1.0133363</v>
      </c>
      <c r="G207" s="2">
        <v>15.586864</v>
      </c>
      <c r="H207" s="2">
        <v>8.7170713000000006</v>
      </c>
      <c r="I207" s="2">
        <v>6.7126992999999997</v>
      </c>
      <c r="J207" s="2">
        <v>6.1243233000000004E-14</v>
      </c>
      <c r="K207" s="2">
        <v>-499059</v>
      </c>
      <c r="L207" s="2">
        <v>709.18439000000001</v>
      </c>
      <c r="M207" s="2">
        <v>136.73571000000001</v>
      </c>
      <c r="N207" s="2">
        <v>76.931670999999994</v>
      </c>
      <c r="O207" s="2">
        <v>64.987381999999997</v>
      </c>
      <c r="P207" s="2">
        <v>0</v>
      </c>
      <c r="R207" s="2">
        <f t="shared" si="7"/>
        <v>5.0567153175000001</v>
      </c>
      <c r="S207" s="2">
        <f t="shared" si="7"/>
        <v>-7.1858108316749996E-3</v>
      </c>
      <c r="T207" s="2">
        <f t="shared" si="7"/>
        <v>-1.3854745815750002E-3</v>
      </c>
      <c r="U207" s="2">
        <f t="shared" si="8"/>
        <v>0.2658080606060606</v>
      </c>
    </row>
    <row r="208" spans="2:21" x14ac:dyDescent="0.3">
      <c r="B208" s="2">
        <v>99500</v>
      </c>
      <c r="C208" s="2">
        <v>1.9900000000000001E-2</v>
      </c>
      <c r="D208" s="2">
        <v>-5.2318039999999996E-3</v>
      </c>
      <c r="E208" s="2">
        <v>0</v>
      </c>
      <c r="F208" s="2">
        <v>0.99034387999999995</v>
      </c>
      <c r="G208" s="2">
        <v>15.741443</v>
      </c>
      <c r="H208" s="2">
        <v>8.8551404999999992</v>
      </c>
      <c r="I208" s="2">
        <v>6.7327731000000002</v>
      </c>
      <c r="J208" s="2">
        <v>6.1486594000000006E-14</v>
      </c>
      <c r="K208" s="2">
        <v>-502102.25</v>
      </c>
      <c r="L208" s="2">
        <v>-527.85599000000002</v>
      </c>
      <c r="M208" s="2">
        <v>-311.47377999999998</v>
      </c>
      <c r="N208" s="2">
        <v>76.939215000000004</v>
      </c>
      <c r="O208" s="2">
        <v>64.989419999999996</v>
      </c>
      <c r="P208" s="2">
        <v>0</v>
      </c>
      <c r="R208" s="2">
        <f t="shared" si="7"/>
        <v>5.0875510481250004</v>
      </c>
      <c r="S208" s="2">
        <f t="shared" si="7"/>
        <v>5.3485008186750001E-3</v>
      </c>
      <c r="T208" s="2">
        <f t="shared" si="7"/>
        <v>3.15600807585E-3</v>
      </c>
      <c r="U208" s="2">
        <f t="shared" si="8"/>
        <v>0.26290472361809042</v>
      </c>
    </row>
    <row r="209" spans="2:21" x14ac:dyDescent="0.3">
      <c r="B209" s="2">
        <v>100000</v>
      </c>
      <c r="C209" s="2">
        <v>0.02</v>
      </c>
      <c r="D209" s="2">
        <v>-5.3002316999999997E-3</v>
      </c>
      <c r="E209" s="2">
        <v>0</v>
      </c>
      <c r="F209" s="2">
        <v>1.0075996</v>
      </c>
      <c r="G209" s="2">
        <v>15.901319000000001</v>
      </c>
      <c r="H209" s="2">
        <v>8.9045457999999993</v>
      </c>
      <c r="I209" s="2">
        <v>6.8405696000000002</v>
      </c>
      <c r="J209" s="2">
        <v>6.0517369000000004E-14</v>
      </c>
      <c r="K209" s="2">
        <v>-504055.9</v>
      </c>
      <c r="L209" s="2">
        <v>345.80067000000003</v>
      </c>
      <c r="M209" s="2">
        <v>-339.19101999999998</v>
      </c>
      <c r="N209" s="2">
        <v>76.946759</v>
      </c>
      <c r="O209" s="2">
        <v>64.984949999999998</v>
      </c>
      <c r="P209" s="2">
        <v>0</v>
      </c>
      <c r="R209" s="2">
        <f t="shared" si="7"/>
        <v>5.1073464067500005</v>
      </c>
      <c r="S209" s="2">
        <f t="shared" si="7"/>
        <v>-3.5038252887750003E-3</v>
      </c>
      <c r="T209" s="2">
        <f t="shared" si="7"/>
        <v>3.4368530101499999E-3</v>
      </c>
      <c r="U209" s="2">
        <f t="shared" si="8"/>
        <v>0.26501158499999999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x_const_y</vt:lpstr>
      <vt:lpstr>xy_shear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Αριστοτέλης Σγούρος</dc:creator>
  <cp:lastModifiedBy>Αριστοτέλης Σγούρος</cp:lastModifiedBy>
  <dcterms:created xsi:type="dcterms:W3CDTF">2026-07-07T11:13:17Z</dcterms:created>
  <dcterms:modified xsi:type="dcterms:W3CDTF">2026-07-08T16:42:05Z</dcterms:modified>
</cp:coreProperties>
</file>
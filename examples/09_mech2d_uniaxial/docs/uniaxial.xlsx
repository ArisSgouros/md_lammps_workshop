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ps\projects\md_lammps_workshop\examples\09_mech2d_uniaxial\docs\"/>
    </mc:Choice>
  </mc:AlternateContent>
  <xr:revisionPtr revIDLastSave="0" documentId="13_ncr:1_{AEFC4C0C-A7E7-4C9D-BB2A-31E6366A6CE9}" xr6:coauthVersionLast="47" xr6:coauthVersionMax="47" xr10:uidLastSave="{00000000-0000-0000-0000-000000000000}"/>
  <bookViews>
    <workbookView xWindow="-108" yWindow="-108" windowWidth="23256" windowHeight="12456" xr2:uid="{8CCD3CBB-2219-4CFA-AEF4-3BCD7E8F6540}"/>
  </bookViews>
  <sheets>
    <sheet name="data_uniaxi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" i="2" l="1"/>
  <c r="O4" i="2"/>
  <c r="N4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B2" i="2"/>
  <c r="B3" i="2" s="1"/>
  <c r="T209" i="2" l="1"/>
  <c r="S105" i="2"/>
  <c r="S104" i="2"/>
  <c r="S103" i="2"/>
  <c r="T102" i="2"/>
  <c r="S101" i="2"/>
  <c r="R100" i="2"/>
  <c r="R99" i="2"/>
  <c r="S209" i="2"/>
  <c r="R209" i="2"/>
  <c r="T208" i="2"/>
  <c r="S208" i="2"/>
  <c r="R208" i="2"/>
  <c r="T207" i="2"/>
  <c r="S207" i="2"/>
  <c r="R207" i="2"/>
  <c r="T206" i="2"/>
  <c r="S206" i="2"/>
  <c r="R206" i="2"/>
  <c r="T205" i="2"/>
  <c r="S205" i="2"/>
  <c r="R205" i="2"/>
  <c r="T204" i="2"/>
  <c r="S204" i="2"/>
  <c r="R204" i="2"/>
  <c r="T203" i="2"/>
  <c r="S203" i="2"/>
  <c r="R203" i="2"/>
  <c r="T202" i="2"/>
  <c r="S202" i="2"/>
  <c r="R202" i="2"/>
  <c r="T201" i="2"/>
  <c r="S201" i="2"/>
  <c r="R201" i="2"/>
  <c r="T200" i="2"/>
  <c r="S200" i="2"/>
  <c r="R200" i="2"/>
  <c r="T199" i="2"/>
  <c r="S199" i="2"/>
  <c r="R199" i="2"/>
  <c r="T198" i="2"/>
  <c r="S198" i="2"/>
  <c r="R198" i="2"/>
  <c r="T197" i="2"/>
  <c r="S197" i="2"/>
  <c r="R197" i="2"/>
  <c r="T196" i="2"/>
  <c r="S196" i="2"/>
  <c r="R196" i="2"/>
  <c r="T195" i="2"/>
  <c r="S195" i="2"/>
  <c r="R195" i="2"/>
  <c r="T194" i="2"/>
  <c r="S194" i="2"/>
  <c r="R194" i="2"/>
  <c r="T193" i="2"/>
  <c r="S193" i="2"/>
  <c r="R193" i="2"/>
  <c r="T192" i="2"/>
  <c r="S192" i="2"/>
  <c r="R192" i="2"/>
  <c r="T191" i="2"/>
  <c r="S191" i="2"/>
  <c r="R191" i="2"/>
  <c r="T190" i="2"/>
  <c r="S190" i="2"/>
  <c r="R190" i="2"/>
  <c r="T189" i="2"/>
  <c r="S189" i="2"/>
  <c r="R189" i="2"/>
  <c r="T188" i="2"/>
  <c r="S188" i="2"/>
  <c r="R188" i="2"/>
  <c r="T187" i="2"/>
  <c r="S187" i="2"/>
  <c r="T104" i="2"/>
  <c r="S102" i="2"/>
  <c r="R101" i="2"/>
  <c r="T98" i="2"/>
  <c r="R187" i="2"/>
  <c r="T186" i="2"/>
  <c r="S186" i="2"/>
  <c r="R186" i="2"/>
  <c r="T185" i="2"/>
  <c r="S185" i="2"/>
  <c r="R185" i="2"/>
  <c r="T184" i="2"/>
  <c r="S184" i="2"/>
  <c r="R184" i="2"/>
  <c r="T183" i="2"/>
  <c r="S183" i="2"/>
  <c r="R183" i="2"/>
  <c r="T182" i="2"/>
  <c r="S182" i="2"/>
  <c r="R182" i="2"/>
  <c r="T181" i="2"/>
  <c r="S181" i="2"/>
  <c r="R181" i="2"/>
  <c r="T180" i="2"/>
  <c r="S180" i="2"/>
  <c r="R180" i="2"/>
  <c r="T179" i="2"/>
  <c r="S179" i="2"/>
  <c r="R179" i="2"/>
  <c r="T178" i="2"/>
  <c r="S178" i="2"/>
  <c r="R178" i="2"/>
  <c r="T177" i="2"/>
  <c r="S177" i="2"/>
  <c r="R177" i="2"/>
  <c r="T176" i="2"/>
  <c r="S176" i="2"/>
  <c r="R176" i="2"/>
  <c r="T175" i="2"/>
  <c r="S175" i="2"/>
  <c r="R175" i="2"/>
  <c r="T174" i="2"/>
  <c r="S174" i="2"/>
  <c r="R174" i="2"/>
  <c r="T173" i="2"/>
  <c r="S173" i="2"/>
  <c r="R173" i="2"/>
  <c r="T172" i="2"/>
  <c r="S172" i="2"/>
  <c r="R172" i="2"/>
  <c r="T171" i="2"/>
  <c r="S171" i="2"/>
  <c r="R171" i="2"/>
  <c r="T170" i="2"/>
  <c r="S170" i="2"/>
  <c r="R170" i="2"/>
  <c r="T169" i="2"/>
  <c r="S169" i="2"/>
  <c r="R169" i="2"/>
  <c r="T168" i="2"/>
  <c r="S168" i="2"/>
  <c r="R168" i="2"/>
  <c r="T167" i="2"/>
  <c r="S167" i="2"/>
  <c r="R167" i="2"/>
  <c r="T166" i="2"/>
  <c r="S166" i="2"/>
  <c r="R166" i="2"/>
  <c r="T165" i="2"/>
  <c r="S165" i="2"/>
  <c r="R165" i="2"/>
  <c r="R118" i="2"/>
  <c r="S116" i="2"/>
  <c r="R115" i="2"/>
  <c r="S113" i="2"/>
  <c r="S112" i="2"/>
  <c r="S111" i="2"/>
  <c r="S110" i="2"/>
  <c r="S109" i="2"/>
  <c r="S108" i="2"/>
  <c r="S107" i="2"/>
  <c r="S106" i="2"/>
  <c r="T105" i="2"/>
  <c r="R104" i="2"/>
  <c r="R102" i="2"/>
  <c r="T100" i="2"/>
  <c r="T99" i="2"/>
  <c r="S98" i="2"/>
  <c r="T164" i="2"/>
  <c r="S164" i="2"/>
  <c r="R164" i="2"/>
  <c r="T163" i="2"/>
  <c r="S163" i="2"/>
  <c r="R163" i="2"/>
  <c r="T162" i="2"/>
  <c r="S162" i="2"/>
  <c r="R162" i="2"/>
  <c r="T161" i="2"/>
  <c r="S161" i="2"/>
  <c r="R161" i="2"/>
  <c r="T160" i="2"/>
  <c r="S160" i="2"/>
  <c r="R160" i="2"/>
  <c r="T159" i="2"/>
  <c r="S159" i="2"/>
  <c r="R159" i="2"/>
  <c r="T158" i="2"/>
  <c r="S158" i="2"/>
  <c r="R158" i="2"/>
  <c r="T157" i="2"/>
  <c r="S157" i="2"/>
  <c r="R157" i="2"/>
  <c r="T156" i="2"/>
  <c r="S156" i="2"/>
  <c r="R156" i="2"/>
  <c r="T155" i="2"/>
  <c r="S155" i="2"/>
  <c r="R155" i="2"/>
  <c r="T154" i="2"/>
  <c r="S154" i="2"/>
  <c r="R154" i="2"/>
  <c r="T153" i="2"/>
  <c r="S153" i="2"/>
  <c r="R153" i="2"/>
  <c r="T152" i="2"/>
  <c r="S152" i="2"/>
  <c r="R152" i="2"/>
  <c r="T151" i="2"/>
  <c r="S151" i="2"/>
  <c r="R151" i="2"/>
  <c r="T150" i="2"/>
  <c r="S150" i="2"/>
  <c r="R150" i="2"/>
  <c r="T149" i="2"/>
  <c r="S149" i="2"/>
  <c r="R149" i="2"/>
  <c r="T148" i="2"/>
  <c r="S148" i="2"/>
  <c r="R148" i="2"/>
  <c r="T147" i="2"/>
  <c r="S147" i="2"/>
  <c r="R147" i="2"/>
  <c r="T146" i="2"/>
  <c r="S146" i="2"/>
  <c r="R146" i="2"/>
  <c r="T145" i="2"/>
  <c r="S145" i="2"/>
  <c r="R145" i="2"/>
  <c r="T144" i="2"/>
  <c r="S144" i="2"/>
  <c r="R144" i="2"/>
  <c r="T143" i="2"/>
  <c r="S143" i="2"/>
  <c r="R143" i="2"/>
  <c r="T142" i="2"/>
  <c r="T121" i="2"/>
  <c r="R121" i="2"/>
  <c r="S120" i="2"/>
  <c r="T119" i="2"/>
  <c r="R119" i="2"/>
  <c r="S118" i="2"/>
  <c r="S117" i="2"/>
  <c r="T116" i="2"/>
  <c r="R116" i="2"/>
  <c r="S115" i="2"/>
  <c r="S114" i="2"/>
  <c r="T113" i="2"/>
  <c r="R113" i="2"/>
  <c r="R112" i="2"/>
  <c r="T110" i="2"/>
  <c r="R110" i="2"/>
  <c r="T108" i="2"/>
  <c r="R108" i="2"/>
  <c r="T106" i="2"/>
  <c r="R98" i="2"/>
  <c r="S142" i="2"/>
  <c r="R142" i="2"/>
  <c r="T141" i="2"/>
  <c r="S141" i="2"/>
  <c r="R141" i="2"/>
  <c r="T140" i="2"/>
  <c r="S140" i="2"/>
  <c r="R140" i="2"/>
  <c r="T139" i="2"/>
  <c r="S139" i="2"/>
  <c r="R139" i="2"/>
  <c r="T138" i="2"/>
  <c r="S138" i="2"/>
  <c r="R138" i="2"/>
  <c r="T137" i="2"/>
  <c r="S137" i="2"/>
  <c r="R137" i="2"/>
  <c r="T136" i="2"/>
  <c r="S136" i="2"/>
  <c r="R136" i="2"/>
  <c r="T135" i="2"/>
  <c r="S135" i="2"/>
  <c r="R135" i="2"/>
  <c r="T134" i="2"/>
  <c r="S134" i="2"/>
  <c r="R134" i="2"/>
  <c r="T133" i="2"/>
  <c r="S133" i="2"/>
  <c r="R133" i="2"/>
  <c r="T132" i="2"/>
  <c r="S132" i="2"/>
  <c r="R132" i="2"/>
  <c r="T131" i="2"/>
  <c r="S131" i="2"/>
  <c r="R131" i="2"/>
  <c r="T130" i="2"/>
  <c r="S130" i="2"/>
  <c r="R130" i="2"/>
  <c r="T129" i="2"/>
  <c r="S129" i="2"/>
  <c r="R129" i="2"/>
  <c r="T128" i="2"/>
  <c r="S128" i="2"/>
  <c r="R128" i="2"/>
  <c r="T127" i="2"/>
  <c r="S127" i="2"/>
  <c r="R127" i="2"/>
  <c r="T126" i="2"/>
  <c r="S126" i="2"/>
  <c r="R126" i="2"/>
  <c r="T125" i="2"/>
  <c r="S125" i="2"/>
  <c r="R125" i="2"/>
  <c r="T124" i="2"/>
  <c r="S124" i="2"/>
  <c r="R124" i="2"/>
  <c r="T123" i="2"/>
  <c r="S123" i="2"/>
  <c r="R123" i="2"/>
  <c r="T122" i="2"/>
  <c r="S122" i="2"/>
  <c r="R122" i="2"/>
  <c r="S121" i="2"/>
  <c r="T120" i="2"/>
  <c r="R120" i="2"/>
  <c r="S119" i="2"/>
  <c r="T118" i="2"/>
  <c r="T117" i="2"/>
  <c r="R117" i="2"/>
  <c r="T115" i="2"/>
  <c r="T114" i="2"/>
  <c r="R114" i="2"/>
  <c r="T112" i="2"/>
  <c r="T111" i="2"/>
  <c r="R111" i="2"/>
  <c r="T109" i="2"/>
  <c r="R109" i="2"/>
  <c r="T107" i="2"/>
  <c r="R107" i="2"/>
  <c r="R106" i="2"/>
  <c r="R105" i="2"/>
  <c r="T103" i="2"/>
  <c r="R103" i="2"/>
  <c r="T101" i="2"/>
  <c r="S100" i="2"/>
  <c r="S99" i="2"/>
  <c r="T97" i="2"/>
  <c r="S97" i="2"/>
  <c r="R97" i="2"/>
  <c r="T96" i="2"/>
  <c r="S96" i="2"/>
  <c r="R96" i="2"/>
  <c r="T95" i="2"/>
  <c r="S95" i="2"/>
  <c r="R95" i="2"/>
  <c r="T94" i="2"/>
  <c r="S94" i="2"/>
  <c r="R94" i="2"/>
  <c r="T93" i="2"/>
  <c r="S93" i="2"/>
  <c r="R93" i="2"/>
  <c r="T92" i="2"/>
  <c r="S92" i="2"/>
  <c r="R92" i="2"/>
  <c r="T91" i="2"/>
  <c r="S91" i="2"/>
  <c r="R91" i="2"/>
  <c r="T90" i="2"/>
  <c r="S90" i="2"/>
  <c r="R90" i="2"/>
  <c r="T89" i="2"/>
  <c r="S89" i="2"/>
  <c r="R89" i="2"/>
  <c r="T88" i="2"/>
  <c r="S88" i="2"/>
  <c r="R88" i="2"/>
  <c r="T87" i="2"/>
  <c r="S87" i="2"/>
  <c r="R87" i="2"/>
  <c r="T86" i="2"/>
  <c r="S86" i="2"/>
  <c r="R86" i="2"/>
  <c r="T85" i="2"/>
  <c r="S85" i="2"/>
  <c r="R85" i="2"/>
  <c r="T84" i="2"/>
  <c r="S84" i="2"/>
  <c r="R84" i="2"/>
  <c r="T83" i="2"/>
  <c r="S83" i="2"/>
  <c r="R83" i="2"/>
  <c r="T82" i="2"/>
  <c r="S82" i="2"/>
  <c r="R82" i="2"/>
  <c r="T81" i="2"/>
  <c r="S81" i="2"/>
  <c r="R81" i="2"/>
  <c r="T80" i="2"/>
  <c r="S80" i="2"/>
  <c r="R80" i="2"/>
  <c r="T79" i="2"/>
  <c r="S79" i="2"/>
  <c r="R79" i="2"/>
  <c r="T78" i="2"/>
  <c r="S78" i="2"/>
  <c r="R78" i="2"/>
  <c r="T77" i="2"/>
  <c r="S77" i="2"/>
  <c r="R77" i="2"/>
  <c r="T76" i="2"/>
  <c r="S76" i="2"/>
  <c r="R76" i="2"/>
  <c r="T75" i="2"/>
  <c r="S75" i="2"/>
  <c r="R75" i="2"/>
  <c r="T74" i="2"/>
  <c r="S74" i="2"/>
  <c r="R74" i="2"/>
  <c r="T73" i="2"/>
  <c r="S73" i="2"/>
  <c r="R73" i="2"/>
  <c r="T72" i="2"/>
  <c r="S72" i="2"/>
  <c r="R72" i="2"/>
  <c r="T71" i="2"/>
  <c r="S71" i="2"/>
  <c r="R71" i="2"/>
  <c r="T70" i="2"/>
  <c r="S70" i="2"/>
  <c r="R70" i="2"/>
  <c r="T69" i="2"/>
  <c r="S69" i="2"/>
  <c r="R69" i="2"/>
  <c r="T68" i="2"/>
  <c r="S68" i="2"/>
  <c r="R68" i="2"/>
  <c r="T67" i="2"/>
  <c r="S67" i="2"/>
  <c r="R67" i="2"/>
  <c r="T66" i="2"/>
  <c r="S66" i="2"/>
  <c r="R66" i="2"/>
  <c r="T65" i="2"/>
  <c r="S65" i="2"/>
  <c r="R65" i="2"/>
  <c r="T64" i="2"/>
  <c r="S64" i="2"/>
  <c r="R64" i="2"/>
  <c r="T63" i="2"/>
  <c r="S63" i="2"/>
  <c r="R63" i="2"/>
  <c r="T62" i="2"/>
  <c r="S62" i="2"/>
  <c r="R62" i="2"/>
  <c r="T61" i="2"/>
  <c r="S61" i="2"/>
  <c r="R61" i="2"/>
  <c r="T60" i="2"/>
  <c r="S60" i="2"/>
  <c r="R60" i="2"/>
  <c r="T59" i="2"/>
  <c r="S59" i="2"/>
  <c r="R59" i="2"/>
  <c r="T58" i="2"/>
  <c r="S58" i="2"/>
  <c r="R58" i="2"/>
  <c r="T57" i="2"/>
  <c r="S57" i="2"/>
  <c r="R57" i="2"/>
  <c r="T56" i="2"/>
  <c r="S56" i="2"/>
  <c r="R56" i="2"/>
  <c r="T55" i="2"/>
  <c r="S55" i="2"/>
  <c r="R55" i="2"/>
  <c r="T54" i="2"/>
  <c r="S54" i="2"/>
  <c r="R54" i="2"/>
  <c r="T53" i="2"/>
  <c r="S53" i="2"/>
  <c r="R53" i="2"/>
  <c r="T52" i="2"/>
  <c r="S52" i="2"/>
  <c r="R52" i="2"/>
  <c r="T51" i="2"/>
  <c r="S51" i="2"/>
  <c r="R51" i="2"/>
  <c r="T50" i="2"/>
  <c r="S50" i="2"/>
  <c r="R50" i="2"/>
  <c r="T49" i="2"/>
  <c r="S49" i="2"/>
  <c r="R49" i="2"/>
  <c r="T48" i="2"/>
  <c r="S48" i="2"/>
  <c r="R48" i="2"/>
  <c r="T47" i="2"/>
  <c r="S47" i="2"/>
  <c r="R47" i="2"/>
  <c r="T46" i="2"/>
  <c r="S46" i="2"/>
  <c r="R46" i="2"/>
  <c r="T45" i="2"/>
  <c r="S45" i="2"/>
  <c r="R45" i="2"/>
  <c r="T44" i="2"/>
  <c r="S44" i="2"/>
  <c r="R44" i="2"/>
  <c r="T43" i="2"/>
  <c r="S43" i="2"/>
  <c r="R43" i="2"/>
  <c r="T42" i="2"/>
  <c r="S42" i="2"/>
  <c r="R42" i="2"/>
  <c r="T41" i="2"/>
  <c r="S41" i="2"/>
  <c r="R41" i="2"/>
  <c r="T40" i="2"/>
  <c r="S40" i="2"/>
  <c r="R40" i="2"/>
  <c r="T39" i="2"/>
  <c r="S39" i="2"/>
  <c r="R39" i="2"/>
  <c r="T38" i="2"/>
  <c r="S38" i="2"/>
  <c r="R38" i="2"/>
  <c r="T37" i="2"/>
  <c r="S37" i="2"/>
  <c r="R37" i="2"/>
  <c r="T36" i="2"/>
  <c r="S36" i="2"/>
  <c r="R36" i="2"/>
  <c r="T35" i="2"/>
  <c r="S35" i="2"/>
  <c r="R35" i="2"/>
  <c r="T34" i="2"/>
  <c r="S34" i="2"/>
  <c r="R34" i="2"/>
  <c r="T33" i="2"/>
  <c r="S33" i="2"/>
  <c r="R33" i="2"/>
  <c r="T32" i="2"/>
  <c r="S32" i="2"/>
  <c r="R32" i="2"/>
  <c r="T31" i="2"/>
  <c r="S31" i="2"/>
  <c r="R31" i="2"/>
  <c r="T30" i="2"/>
  <c r="S30" i="2"/>
  <c r="R30" i="2"/>
  <c r="T29" i="2"/>
  <c r="S29" i="2"/>
  <c r="R29" i="2"/>
  <c r="T28" i="2"/>
  <c r="S28" i="2"/>
  <c r="R28" i="2"/>
  <c r="T27" i="2"/>
  <c r="S27" i="2"/>
  <c r="R27" i="2"/>
  <c r="T26" i="2"/>
  <c r="S26" i="2"/>
  <c r="R26" i="2"/>
  <c r="T25" i="2"/>
  <c r="S25" i="2"/>
  <c r="R25" i="2"/>
  <c r="T24" i="2"/>
  <c r="S24" i="2"/>
  <c r="R24" i="2"/>
  <c r="T23" i="2"/>
  <c r="S23" i="2"/>
  <c r="R23" i="2"/>
  <c r="T22" i="2"/>
  <c r="S22" i="2"/>
  <c r="R22" i="2"/>
  <c r="T21" i="2"/>
  <c r="S21" i="2"/>
  <c r="R21" i="2"/>
  <c r="T20" i="2"/>
  <c r="S20" i="2"/>
  <c r="R20" i="2"/>
  <c r="T19" i="2"/>
  <c r="S19" i="2"/>
  <c r="R19" i="2"/>
  <c r="T18" i="2"/>
  <c r="S18" i="2"/>
  <c r="R18" i="2"/>
  <c r="T17" i="2"/>
  <c r="S17" i="2"/>
  <c r="R17" i="2"/>
  <c r="T16" i="2"/>
  <c r="S16" i="2"/>
  <c r="R16" i="2"/>
  <c r="T15" i="2"/>
  <c r="S15" i="2"/>
  <c r="R15" i="2"/>
  <c r="T14" i="2"/>
  <c r="S14" i="2"/>
  <c r="R14" i="2"/>
  <c r="T13" i="2"/>
  <c r="S13" i="2"/>
  <c r="R13" i="2"/>
  <c r="T12" i="2"/>
  <c r="S12" i="2"/>
  <c r="R12" i="2"/>
  <c r="T11" i="2"/>
  <c r="S11" i="2"/>
  <c r="R11" i="2"/>
  <c r="T10" i="2"/>
  <c r="S10" i="2"/>
  <c r="R10" i="2"/>
  <c r="T9" i="2"/>
  <c r="S9" i="2"/>
  <c r="R9" i="2"/>
</calcChain>
</file>

<file path=xl/sharedStrings.xml><?xml version="1.0" encoding="utf-8"?>
<sst xmlns="http://schemas.openxmlformats.org/spreadsheetml/2006/main" count="27" uniqueCount="27">
  <si>
    <t>Step</t>
  </si>
  <si>
    <t>Temp</t>
  </si>
  <si>
    <t>TotEng</t>
  </si>
  <si>
    <t>E_bond</t>
  </si>
  <si>
    <t>E_angle</t>
  </si>
  <si>
    <t>E_dihed</t>
  </si>
  <si>
    <t>Pxx</t>
  </si>
  <si>
    <t>Pyy</t>
  </si>
  <si>
    <t>Lx</t>
  </si>
  <si>
    <t>Ly</t>
  </si>
  <si>
    <t>Lz</t>
  </si>
  <si>
    <t>scale</t>
  </si>
  <si>
    <t>Pxy</t>
  </si>
  <si>
    <t>Xy</t>
  </si>
  <si>
    <t># m</t>
  </si>
  <si>
    <t>atm</t>
  </si>
  <si>
    <t># Pa</t>
  </si>
  <si>
    <r>
      <t xml:space="preserve"># atm </t>
    </r>
    <r>
      <rPr>
        <sz val="11"/>
        <color theme="1"/>
        <rFont val="Courier New"/>
        <family val="3"/>
      </rPr>
      <t>Å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Garamond"/>
        <family val="1"/>
      </rPr>
      <t>→</t>
    </r>
    <r>
      <rPr>
        <sz val="11"/>
        <color theme="1"/>
        <rFont val="Aptos Narrow"/>
        <family val="2"/>
        <scheme val="minor"/>
      </rPr>
      <t xml:space="preserve"> Pa m</t>
    </r>
  </si>
  <si>
    <t>v_exx</t>
  </si>
  <si>
    <t>v_eyy</t>
  </si>
  <si>
    <t>v_exy</t>
  </si>
  <si>
    <r>
      <t>v=-</t>
    </r>
    <r>
      <rPr>
        <i/>
        <sz val="11"/>
        <color theme="1"/>
        <rFont val="Aptos Narrow"/>
        <family val="2"/>
        <scheme val="minor"/>
      </rPr>
      <t>ε</t>
    </r>
    <r>
      <rPr>
        <i/>
        <vertAlign val="subscript"/>
        <sz val="11"/>
        <color theme="1"/>
        <rFont val="Aptos Narrow"/>
        <family val="2"/>
        <scheme val="minor"/>
      </rPr>
      <t>yy</t>
    </r>
    <r>
      <rPr>
        <sz val="11"/>
        <color theme="1"/>
        <rFont val="Aptos Narrow"/>
        <family val="2"/>
        <scheme val="minor"/>
      </rPr>
      <t>/</t>
    </r>
    <r>
      <rPr>
        <i/>
        <sz val="11"/>
        <color theme="1"/>
        <rFont val="Aptos Narrow"/>
        <family val="2"/>
        <scheme val="minor"/>
      </rPr>
      <t>ε</t>
    </r>
    <r>
      <rPr>
        <i/>
        <vertAlign val="subscript"/>
        <sz val="11"/>
        <color theme="1"/>
        <rFont val="Aptos Narrow"/>
        <family val="2"/>
        <scheme val="minor"/>
      </rPr>
      <t>xx</t>
    </r>
  </si>
  <si>
    <r>
      <rPr>
        <i/>
        <sz val="11"/>
        <color theme="1"/>
        <rFont val="Aptos Narrow"/>
        <family val="2"/>
        <scheme val="minor"/>
      </rPr>
      <t>σ</t>
    </r>
    <r>
      <rPr>
        <i/>
        <vertAlign val="subscript"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 xml:space="preserve"> [Pa m]</t>
    </r>
  </si>
  <si>
    <r>
      <rPr>
        <i/>
        <sz val="11"/>
        <color theme="1"/>
        <rFont val="Aptos Narrow"/>
        <family val="2"/>
        <scheme val="minor"/>
      </rPr>
      <t>σ</t>
    </r>
    <r>
      <rPr>
        <i/>
        <vertAlign val="subscript"/>
        <sz val="11"/>
        <color theme="1"/>
        <rFont val="Aptos Narrow"/>
        <family val="2"/>
        <scheme val="minor"/>
      </rPr>
      <t>yy</t>
    </r>
    <r>
      <rPr>
        <sz val="11"/>
        <color theme="1"/>
        <rFont val="Aptos Narrow"/>
        <family val="2"/>
        <scheme val="minor"/>
      </rPr>
      <t xml:space="preserve"> [Pa m]</t>
    </r>
  </si>
  <si>
    <r>
      <rPr>
        <i/>
        <sz val="11"/>
        <color theme="1"/>
        <rFont val="Aptos Narrow"/>
        <family val="2"/>
        <scheme val="minor"/>
      </rPr>
      <t>σ</t>
    </r>
    <r>
      <rPr>
        <i/>
        <vertAlign val="subscript"/>
        <sz val="11"/>
        <color theme="1"/>
        <rFont val="Aptos Narrow"/>
        <family val="2"/>
        <scheme val="minor"/>
      </rPr>
      <t>xy</t>
    </r>
    <r>
      <rPr>
        <sz val="11"/>
        <color theme="1"/>
        <rFont val="Aptos Narrow"/>
        <family val="2"/>
        <scheme val="minor"/>
      </rPr>
      <t xml:space="preserve"> [Pa m]</t>
    </r>
  </si>
  <si>
    <t>nx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</si>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</sst>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sz val="11"/>
      <color theme="1"/>
      <name val="Garamond"/>
      <family val="1"/>
    </font>
    <font>
      <i/>
      <sz val="11"/>
      <color theme="1"/>
      <name val="Aptos Narrow"/>
      <family val="2"/>
      <scheme val="minor"/>
    </font>
    <font>
      <i/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2">
                    <a:lumMod val="90000"/>
                    <a:lumOff val="1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8337532808398951"/>
                  <c:y val="0.107475285665021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data_uniaxial!$C$9:$C$110</c:f>
              <c:numCache>
                <c:formatCode>General</c:formatCode>
                <c:ptCount val="102"/>
                <c:pt idx="0">
                  <c:v>0</c:v>
                </c:pt>
                <c:pt idx="1">
                  <c:v>1E-4</c:v>
                </c:pt>
                <c:pt idx="2">
                  <c:v>2.0000000000000001E-4</c:v>
                </c:pt>
                <c:pt idx="3">
                  <c:v>2.9999999999999997E-4</c:v>
                </c:pt>
                <c:pt idx="4">
                  <c:v>4.0000000000000002E-4</c:v>
                </c:pt>
                <c:pt idx="5">
                  <c:v>5.0000000000000001E-4</c:v>
                </c:pt>
                <c:pt idx="6">
                  <c:v>5.9999999999999995E-4</c:v>
                </c:pt>
                <c:pt idx="7">
                  <c:v>6.9999999999999999E-4</c:v>
                </c:pt>
                <c:pt idx="8">
                  <c:v>8.0000000000000004E-4</c:v>
                </c:pt>
                <c:pt idx="9">
                  <c:v>8.9999999999999998E-4</c:v>
                </c:pt>
                <c:pt idx="10">
                  <c:v>1E-3</c:v>
                </c:pt>
                <c:pt idx="11">
                  <c:v>1.1000000000000001E-3</c:v>
                </c:pt>
                <c:pt idx="12">
                  <c:v>1.1999999999999999E-3</c:v>
                </c:pt>
                <c:pt idx="13">
                  <c:v>1.2999999999999999E-3</c:v>
                </c:pt>
                <c:pt idx="14">
                  <c:v>1.4E-3</c:v>
                </c:pt>
                <c:pt idx="15">
                  <c:v>1.5E-3</c:v>
                </c:pt>
                <c:pt idx="16">
                  <c:v>1.6000000000000001E-3</c:v>
                </c:pt>
                <c:pt idx="17">
                  <c:v>1.6999999999999999E-3</c:v>
                </c:pt>
                <c:pt idx="18">
                  <c:v>1.8E-3</c:v>
                </c:pt>
                <c:pt idx="19">
                  <c:v>1.9E-3</c:v>
                </c:pt>
                <c:pt idx="20">
                  <c:v>2E-3</c:v>
                </c:pt>
                <c:pt idx="21">
                  <c:v>2.0999999999999999E-3</c:v>
                </c:pt>
                <c:pt idx="22">
                  <c:v>2.2000000000000001E-3</c:v>
                </c:pt>
                <c:pt idx="23">
                  <c:v>2.3E-3</c:v>
                </c:pt>
                <c:pt idx="24">
                  <c:v>2.3999999999999998E-3</c:v>
                </c:pt>
                <c:pt idx="25">
                  <c:v>2.5000000000000001E-3</c:v>
                </c:pt>
                <c:pt idx="26">
                  <c:v>2.5999999999999999E-3</c:v>
                </c:pt>
                <c:pt idx="27">
                  <c:v>2.7000000000000001E-3</c:v>
                </c:pt>
                <c:pt idx="28">
                  <c:v>2.8E-3</c:v>
                </c:pt>
                <c:pt idx="29">
                  <c:v>2.8999999999999998E-3</c:v>
                </c:pt>
                <c:pt idx="30">
                  <c:v>3.0000000000000001E-3</c:v>
                </c:pt>
                <c:pt idx="31">
                  <c:v>3.0999999999999999E-3</c:v>
                </c:pt>
                <c:pt idx="32">
                  <c:v>3.2000000000000002E-3</c:v>
                </c:pt>
                <c:pt idx="33">
                  <c:v>3.3E-3</c:v>
                </c:pt>
                <c:pt idx="34">
                  <c:v>3.3999999999999998E-3</c:v>
                </c:pt>
                <c:pt idx="35">
                  <c:v>3.5000000000000001E-3</c:v>
                </c:pt>
                <c:pt idx="36">
                  <c:v>3.5999999999999999E-3</c:v>
                </c:pt>
                <c:pt idx="37">
                  <c:v>3.7000000000000002E-3</c:v>
                </c:pt>
                <c:pt idx="38">
                  <c:v>3.8E-3</c:v>
                </c:pt>
                <c:pt idx="39">
                  <c:v>3.8999999999999998E-3</c:v>
                </c:pt>
                <c:pt idx="40">
                  <c:v>4.0000000000000001E-3</c:v>
                </c:pt>
                <c:pt idx="41">
                  <c:v>4.1000000000000003E-3</c:v>
                </c:pt>
                <c:pt idx="42">
                  <c:v>4.1999999999999997E-3</c:v>
                </c:pt>
                <c:pt idx="43">
                  <c:v>4.3E-3</c:v>
                </c:pt>
                <c:pt idx="44">
                  <c:v>4.4000000000000003E-3</c:v>
                </c:pt>
                <c:pt idx="45">
                  <c:v>4.4999999999999997E-3</c:v>
                </c:pt>
                <c:pt idx="46">
                  <c:v>4.5999999999999999E-3</c:v>
                </c:pt>
                <c:pt idx="47">
                  <c:v>4.7000000000000002E-3</c:v>
                </c:pt>
                <c:pt idx="48">
                  <c:v>4.7999999999999996E-3</c:v>
                </c:pt>
                <c:pt idx="49">
                  <c:v>4.8999999999999998E-3</c:v>
                </c:pt>
                <c:pt idx="50">
                  <c:v>5.0000000000000001E-3</c:v>
                </c:pt>
                <c:pt idx="51">
                  <c:v>5.1000000000000004E-3</c:v>
                </c:pt>
                <c:pt idx="52">
                  <c:v>5.1999999999999998E-3</c:v>
                </c:pt>
                <c:pt idx="53">
                  <c:v>5.3E-3</c:v>
                </c:pt>
                <c:pt idx="54">
                  <c:v>5.4000000000000003E-3</c:v>
                </c:pt>
                <c:pt idx="55">
                  <c:v>5.4999999999999997E-3</c:v>
                </c:pt>
                <c:pt idx="56">
                  <c:v>5.5999999999999999E-3</c:v>
                </c:pt>
                <c:pt idx="57">
                  <c:v>5.7000000000000002E-3</c:v>
                </c:pt>
                <c:pt idx="58">
                  <c:v>5.7999999999999996E-3</c:v>
                </c:pt>
                <c:pt idx="59">
                  <c:v>5.8999999999999999E-3</c:v>
                </c:pt>
                <c:pt idx="60">
                  <c:v>6.0000000000000001E-3</c:v>
                </c:pt>
                <c:pt idx="61">
                  <c:v>6.1000000000000004E-3</c:v>
                </c:pt>
                <c:pt idx="62">
                  <c:v>6.1999999999999998E-3</c:v>
                </c:pt>
                <c:pt idx="63">
                  <c:v>6.3E-3</c:v>
                </c:pt>
                <c:pt idx="64">
                  <c:v>6.4000000000000003E-3</c:v>
                </c:pt>
                <c:pt idx="65">
                  <c:v>6.4999999999999997E-3</c:v>
                </c:pt>
                <c:pt idx="66">
                  <c:v>6.6E-3</c:v>
                </c:pt>
                <c:pt idx="67">
                  <c:v>6.7000000000000002E-3</c:v>
                </c:pt>
                <c:pt idx="68">
                  <c:v>6.7999999999999996E-3</c:v>
                </c:pt>
                <c:pt idx="69">
                  <c:v>6.8999999999999999E-3</c:v>
                </c:pt>
                <c:pt idx="70">
                  <c:v>7.0000000000000001E-3</c:v>
                </c:pt>
                <c:pt idx="71">
                  <c:v>7.1000000000000004E-3</c:v>
                </c:pt>
                <c:pt idx="72">
                  <c:v>7.1999999999999998E-3</c:v>
                </c:pt>
                <c:pt idx="73">
                  <c:v>7.3000000000000001E-3</c:v>
                </c:pt>
                <c:pt idx="74">
                  <c:v>7.4000000000000003E-3</c:v>
                </c:pt>
                <c:pt idx="75">
                  <c:v>7.4999999999999997E-3</c:v>
                </c:pt>
                <c:pt idx="76">
                  <c:v>7.6E-3</c:v>
                </c:pt>
                <c:pt idx="77">
                  <c:v>7.7000000000000002E-3</c:v>
                </c:pt>
                <c:pt idx="78">
                  <c:v>7.7999999999999996E-3</c:v>
                </c:pt>
                <c:pt idx="79">
                  <c:v>7.9000000000000008E-3</c:v>
                </c:pt>
                <c:pt idx="80">
                  <c:v>8.0000000000000002E-3</c:v>
                </c:pt>
                <c:pt idx="81">
                  <c:v>8.0999999999999996E-3</c:v>
                </c:pt>
                <c:pt idx="82">
                  <c:v>8.2000000000000007E-3</c:v>
                </c:pt>
                <c:pt idx="83">
                  <c:v>8.3000000000000001E-3</c:v>
                </c:pt>
                <c:pt idx="84">
                  <c:v>8.3999999999999995E-3</c:v>
                </c:pt>
                <c:pt idx="85">
                  <c:v>8.5000000000000006E-3</c:v>
                </c:pt>
                <c:pt idx="86">
                  <c:v>8.6E-3</c:v>
                </c:pt>
                <c:pt idx="87">
                  <c:v>8.6999999999999994E-3</c:v>
                </c:pt>
                <c:pt idx="88">
                  <c:v>8.8000000000000005E-3</c:v>
                </c:pt>
                <c:pt idx="89">
                  <c:v>8.8999999999999999E-3</c:v>
                </c:pt>
                <c:pt idx="90">
                  <c:v>8.9999999999999993E-3</c:v>
                </c:pt>
                <c:pt idx="91">
                  <c:v>9.1000000000000004E-3</c:v>
                </c:pt>
                <c:pt idx="92">
                  <c:v>9.1999999999999998E-3</c:v>
                </c:pt>
                <c:pt idx="93">
                  <c:v>9.2999999999999992E-3</c:v>
                </c:pt>
                <c:pt idx="94">
                  <c:v>9.4000000000000004E-3</c:v>
                </c:pt>
                <c:pt idx="95">
                  <c:v>9.4999999999999998E-3</c:v>
                </c:pt>
                <c:pt idx="96">
                  <c:v>9.5999999999999992E-3</c:v>
                </c:pt>
                <c:pt idx="97">
                  <c:v>9.7000000000000003E-3</c:v>
                </c:pt>
                <c:pt idx="98">
                  <c:v>9.7999999999999997E-3</c:v>
                </c:pt>
                <c:pt idx="99">
                  <c:v>9.9000000000000008E-3</c:v>
                </c:pt>
                <c:pt idx="100">
                  <c:v>0.01</c:v>
                </c:pt>
                <c:pt idx="101">
                  <c:v>1.01E-2</c:v>
                </c:pt>
              </c:numCache>
            </c:numRef>
          </c:xVal>
          <c:yVal>
            <c:numRef>
              <c:f>data_uniaxial!$R$9:$R$110</c:f>
              <c:numCache>
                <c:formatCode>General</c:formatCode>
                <c:ptCount val="102"/>
                <c:pt idx="0">
                  <c:v>8.3203751263499998E-4</c:v>
                </c:pt>
                <c:pt idx="1">
                  <c:v>2.5108253940000002E-2</c:v>
                </c:pt>
                <c:pt idx="2">
                  <c:v>5.0126458326000004E-2</c:v>
                </c:pt>
                <c:pt idx="3">
                  <c:v>7.7076897024749999E-2</c:v>
                </c:pt>
                <c:pt idx="4">
                  <c:v>0.1052057373675</c:v>
                </c:pt>
                <c:pt idx="5">
                  <c:v>0.13253417404500001</c:v>
                </c:pt>
                <c:pt idx="6">
                  <c:v>0.15826463441249999</c:v>
                </c:pt>
                <c:pt idx="7">
                  <c:v>0.18328016584500001</c:v>
                </c:pt>
                <c:pt idx="8">
                  <c:v>0.2088098608575</c:v>
                </c:pt>
                <c:pt idx="9">
                  <c:v>0.23544965230500001</c:v>
                </c:pt>
                <c:pt idx="10">
                  <c:v>0.26297092058999999</c:v>
                </c:pt>
                <c:pt idx="11">
                  <c:v>0.28957463020500002</c:v>
                </c:pt>
                <c:pt idx="12">
                  <c:v>0.31461913045500001</c:v>
                </c:pt>
                <c:pt idx="13">
                  <c:v>0.33902482724249999</c:v>
                </c:pt>
                <c:pt idx="14">
                  <c:v>0.36364804853999999</c:v>
                </c:pt>
                <c:pt idx="15">
                  <c:v>0.38945380351499997</c:v>
                </c:pt>
                <c:pt idx="16">
                  <c:v>0.41568539706750002</c:v>
                </c:pt>
                <c:pt idx="17">
                  <c:v>0.44241185178749998</c:v>
                </c:pt>
                <c:pt idx="18">
                  <c:v>0.46964445527999998</c:v>
                </c:pt>
                <c:pt idx="19">
                  <c:v>0.49702794182999999</c:v>
                </c:pt>
                <c:pt idx="20">
                  <c:v>0.52423161703499999</c:v>
                </c:pt>
                <c:pt idx="21">
                  <c:v>0.55046848962000006</c:v>
                </c:pt>
                <c:pt idx="22">
                  <c:v>0.57517248720749992</c:v>
                </c:pt>
                <c:pt idx="23">
                  <c:v>0.59907648338999997</c:v>
                </c:pt>
                <c:pt idx="24">
                  <c:v>0.62387431806000004</c:v>
                </c:pt>
                <c:pt idx="25">
                  <c:v>0.65002042371000002</c:v>
                </c:pt>
                <c:pt idx="26">
                  <c:v>0.67741007082000004</c:v>
                </c:pt>
                <c:pt idx="27">
                  <c:v>0.70442306250749998</c:v>
                </c:pt>
                <c:pt idx="28">
                  <c:v>0.7304084261774999</c:v>
                </c:pt>
                <c:pt idx="29">
                  <c:v>0.75540394592250004</c:v>
                </c:pt>
                <c:pt idx="30">
                  <c:v>0.78070191066000005</c:v>
                </c:pt>
                <c:pt idx="31">
                  <c:v>0.80706200457749999</c:v>
                </c:pt>
                <c:pt idx="32">
                  <c:v>0.83423445141750008</c:v>
                </c:pt>
                <c:pt idx="33">
                  <c:v>0.86107836207749999</c:v>
                </c:pt>
                <c:pt idx="34">
                  <c:v>0.88778608180499996</c:v>
                </c:pt>
                <c:pt idx="35">
                  <c:v>0.91410185616750006</c:v>
                </c:pt>
                <c:pt idx="36">
                  <c:v>0.93985305776250005</c:v>
                </c:pt>
                <c:pt idx="37">
                  <c:v>0.96508811993999999</c:v>
                </c:pt>
                <c:pt idx="38">
                  <c:v>0.9900629085899999</c:v>
                </c:pt>
                <c:pt idx="39">
                  <c:v>1.0165454943000001</c:v>
                </c:pt>
                <c:pt idx="40">
                  <c:v>1.0441072115249999</c:v>
                </c:pt>
                <c:pt idx="41">
                  <c:v>1.0710583443000001</c:v>
                </c:pt>
                <c:pt idx="42">
                  <c:v>1.095924816525</c:v>
                </c:pt>
                <c:pt idx="43">
                  <c:v>1.1192936039250001</c:v>
                </c:pt>
                <c:pt idx="44">
                  <c:v>1.144001299875</c:v>
                </c:pt>
                <c:pt idx="45">
                  <c:v>1.1711625806999999</c:v>
                </c:pt>
                <c:pt idx="46">
                  <c:v>1.1994196913999999</c:v>
                </c:pt>
                <c:pt idx="47">
                  <c:v>1.2259304657249999</c:v>
                </c:pt>
                <c:pt idx="48">
                  <c:v>1.2505234617750001</c:v>
                </c:pt>
                <c:pt idx="49">
                  <c:v>1.2755839713750001</c:v>
                </c:pt>
                <c:pt idx="50">
                  <c:v>1.30176422355</c:v>
                </c:pt>
                <c:pt idx="51">
                  <c:v>1.3284885909749999</c:v>
                </c:pt>
                <c:pt idx="52">
                  <c:v>1.3552042444500001</c:v>
                </c:pt>
                <c:pt idx="53">
                  <c:v>1.3808499059250001</c:v>
                </c:pt>
                <c:pt idx="54">
                  <c:v>1.4059418262750001</c:v>
                </c:pt>
                <c:pt idx="55">
                  <c:v>1.4311010264249999</c:v>
                </c:pt>
                <c:pt idx="56">
                  <c:v>1.4577820267499999</c:v>
                </c:pt>
                <c:pt idx="57">
                  <c:v>1.485295715925</c:v>
                </c:pt>
                <c:pt idx="58">
                  <c:v>1.5094445031749999</c:v>
                </c:pt>
                <c:pt idx="59">
                  <c:v>1.5310567203749998</c:v>
                </c:pt>
                <c:pt idx="60">
                  <c:v>1.5560902775250001</c:v>
                </c:pt>
                <c:pt idx="61">
                  <c:v>1.5841413945</c:v>
                </c:pt>
                <c:pt idx="62">
                  <c:v>1.609768006875</c:v>
                </c:pt>
                <c:pt idx="63">
                  <c:v>1.6338031074749999</c:v>
                </c:pt>
                <c:pt idx="64">
                  <c:v>1.6586180052749999</c:v>
                </c:pt>
                <c:pt idx="65">
                  <c:v>1.6856662074000002</c:v>
                </c:pt>
                <c:pt idx="66">
                  <c:v>1.7135321022750001</c:v>
                </c:pt>
                <c:pt idx="67">
                  <c:v>1.7403274985249999</c:v>
                </c:pt>
                <c:pt idx="68">
                  <c:v>1.7664336821250002</c:v>
                </c:pt>
                <c:pt idx="69">
                  <c:v>1.793216108775</c:v>
                </c:pt>
                <c:pt idx="70">
                  <c:v>1.8203357450250002</c:v>
                </c:pt>
                <c:pt idx="71">
                  <c:v>1.8453286708500001</c:v>
                </c:pt>
                <c:pt idx="72">
                  <c:v>1.8672258139499998</c:v>
                </c:pt>
                <c:pt idx="73">
                  <c:v>1.89017997945</c:v>
                </c:pt>
                <c:pt idx="74">
                  <c:v>1.9175930529</c:v>
                </c:pt>
                <c:pt idx="75">
                  <c:v>1.9440073658249999</c:v>
                </c:pt>
                <c:pt idx="76">
                  <c:v>1.9673701750499999</c:v>
                </c:pt>
                <c:pt idx="77">
                  <c:v>1.9949383770749998</c:v>
                </c:pt>
                <c:pt idx="78">
                  <c:v>2.0258342947500001</c:v>
                </c:pt>
                <c:pt idx="79">
                  <c:v>2.051925786225</c:v>
                </c:pt>
                <c:pt idx="80">
                  <c:v>2.0750349789749998</c:v>
                </c:pt>
                <c:pt idx="81">
                  <c:v>2.0984847250500001</c:v>
                </c:pt>
                <c:pt idx="82">
                  <c:v>2.1228575418750002</c:v>
                </c:pt>
                <c:pt idx="83">
                  <c:v>2.1481850428500002</c:v>
                </c:pt>
                <c:pt idx="84">
                  <c:v>2.1749959418250002</c:v>
                </c:pt>
                <c:pt idx="85">
                  <c:v>2.2036331225999999</c:v>
                </c:pt>
                <c:pt idx="86">
                  <c:v>2.2316218233750003</c:v>
                </c:pt>
                <c:pt idx="87">
                  <c:v>2.254312138575</c:v>
                </c:pt>
                <c:pt idx="88">
                  <c:v>2.2757325475500001</c:v>
                </c:pt>
                <c:pt idx="89">
                  <c:v>2.3028660653249999</c:v>
                </c:pt>
                <c:pt idx="90">
                  <c:v>2.3294999495249997</c:v>
                </c:pt>
                <c:pt idx="91">
                  <c:v>2.35443978105</c:v>
                </c:pt>
                <c:pt idx="92">
                  <c:v>2.3843173824749999</c:v>
                </c:pt>
                <c:pt idx="93">
                  <c:v>2.4101706588750003</c:v>
                </c:pt>
                <c:pt idx="94">
                  <c:v>2.4301420190249998</c:v>
                </c:pt>
                <c:pt idx="95">
                  <c:v>2.4544925443499999</c:v>
                </c:pt>
                <c:pt idx="96">
                  <c:v>2.4834790937249998</c:v>
                </c:pt>
                <c:pt idx="97">
                  <c:v>2.5117081373999999</c:v>
                </c:pt>
                <c:pt idx="98">
                  <c:v>2.53676398605</c:v>
                </c:pt>
                <c:pt idx="99">
                  <c:v>2.5599978085499999</c:v>
                </c:pt>
                <c:pt idx="100">
                  <c:v>2.5831282795499999</c:v>
                </c:pt>
                <c:pt idx="101">
                  <c:v>2.60870392545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39-4955-893F-F2CE4CB03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290384"/>
        <c:axId val="566340640"/>
      </c:scatterChart>
      <c:valAx>
        <c:axId val="575290384"/>
        <c:scaling>
          <c:orientation val="minMax"/>
          <c:max val="1.0000000000000002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i="1"/>
                  <a:t>ε</a:t>
                </a:r>
                <a:r>
                  <a:rPr lang="en-US" i="1" baseline="-25000"/>
                  <a:t>xx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340640"/>
        <c:crosses val="autoZero"/>
        <c:crossBetween val="midCat"/>
      </c:valAx>
      <c:valAx>
        <c:axId val="566340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i="1"/>
                  <a:t>σ</a:t>
                </a:r>
                <a:r>
                  <a:rPr lang="en-US" baseline="-25000"/>
                  <a:t>xx</a:t>
                </a:r>
                <a:r>
                  <a:rPr lang="en-US"/>
                  <a:t> [Pa 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9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data_uniaxial!$C$9:$C$110</c:f>
              <c:numCache>
                <c:formatCode>General</c:formatCode>
                <c:ptCount val="102"/>
                <c:pt idx="0">
                  <c:v>0</c:v>
                </c:pt>
                <c:pt idx="1">
                  <c:v>1E-4</c:v>
                </c:pt>
                <c:pt idx="2">
                  <c:v>2.0000000000000001E-4</c:v>
                </c:pt>
                <c:pt idx="3">
                  <c:v>2.9999999999999997E-4</c:v>
                </c:pt>
                <c:pt idx="4">
                  <c:v>4.0000000000000002E-4</c:v>
                </c:pt>
                <c:pt idx="5">
                  <c:v>5.0000000000000001E-4</c:v>
                </c:pt>
                <c:pt idx="6">
                  <c:v>5.9999999999999995E-4</c:v>
                </c:pt>
                <c:pt idx="7">
                  <c:v>6.9999999999999999E-4</c:v>
                </c:pt>
                <c:pt idx="8">
                  <c:v>8.0000000000000004E-4</c:v>
                </c:pt>
                <c:pt idx="9">
                  <c:v>8.9999999999999998E-4</c:v>
                </c:pt>
                <c:pt idx="10">
                  <c:v>1E-3</c:v>
                </c:pt>
                <c:pt idx="11">
                  <c:v>1.1000000000000001E-3</c:v>
                </c:pt>
                <c:pt idx="12">
                  <c:v>1.1999999999999999E-3</c:v>
                </c:pt>
                <c:pt idx="13">
                  <c:v>1.2999999999999999E-3</c:v>
                </c:pt>
                <c:pt idx="14">
                  <c:v>1.4E-3</c:v>
                </c:pt>
                <c:pt idx="15">
                  <c:v>1.5E-3</c:v>
                </c:pt>
                <c:pt idx="16">
                  <c:v>1.6000000000000001E-3</c:v>
                </c:pt>
                <c:pt idx="17">
                  <c:v>1.6999999999999999E-3</c:v>
                </c:pt>
                <c:pt idx="18">
                  <c:v>1.8E-3</c:v>
                </c:pt>
                <c:pt idx="19">
                  <c:v>1.9E-3</c:v>
                </c:pt>
                <c:pt idx="20">
                  <c:v>2E-3</c:v>
                </c:pt>
                <c:pt idx="21">
                  <c:v>2.0999999999999999E-3</c:v>
                </c:pt>
                <c:pt idx="22">
                  <c:v>2.2000000000000001E-3</c:v>
                </c:pt>
                <c:pt idx="23">
                  <c:v>2.3E-3</c:v>
                </c:pt>
                <c:pt idx="24">
                  <c:v>2.3999999999999998E-3</c:v>
                </c:pt>
                <c:pt idx="25">
                  <c:v>2.5000000000000001E-3</c:v>
                </c:pt>
                <c:pt idx="26">
                  <c:v>2.5999999999999999E-3</c:v>
                </c:pt>
                <c:pt idx="27">
                  <c:v>2.7000000000000001E-3</c:v>
                </c:pt>
                <c:pt idx="28">
                  <c:v>2.8E-3</c:v>
                </c:pt>
                <c:pt idx="29">
                  <c:v>2.8999999999999998E-3</c:v>
                </c:pt>
                <c:pt idx="30">
                  <c:v>3.0000000000000001E-3</c:v>
                </c:pt>
                <c:pt idx="31">
                  <c:v>3.0999999999999999E-3</c:v>
                </c:pt>
                <c:pt idx="32">
                  <c:v>3.2000000000000002E-3</c:v>
                </c:pt>
                <c:pt idx="33">
                  <c:v>3.3E-3</c:v>
                </c:pt>
                <c:pt idx="34">
                  <c:v>3.3999999999999998E-3</c:v>
                </c:pt>
                <c:pt idx="35">
                  <c:v>3.5000000000000001E-3</c:v>
                </c:pt>
                <c:pt idx="36">
                  <c:v>3.5999999999999999E-3</c:v>
                </c:pt>
                <c:pt idx="37">
                  <c:v>3.7000000000000002E-3</c:v>
                </c:pt>
                <c:pt idx="38">
                  <c:v>3.8E-3</c:v>
                </c:pt>
                <c:pt idx="39">
                  <c:v>3.8999999999999998E-3</c:v>
                </c:pt>
                <c:pt idx="40">
                  <c:v>4.0000000000000001E-3</c:v>
                </c:pt>
                <c:pt idx="41">
                  <c:v>4.1000000000000003E-3</c:v>
                </c:pt>
                <c:pt idx="42">
                  <c:v>4.1999999999999997E-3</c:v>
                </c:pt>
                <c:pt idx="43">
                  <c:v>4.3E-3</c:v>
                </c:pt>
                <c:pt idx="44">
                  <c:v>4.4000000000000003E-3</c:v>
                </c:pt>
                <c:pt idx="45">
                  <c:v>4.4999999999999997E-3</c:v>
                </c:pt>
                <c:pt idx="46">
                  <c:v>4.5999999999999999E-3</c:v>
                </c:pt>
                <c:pt idx="47">
                  <c:v>4.7000000000000002E-3</c:v>
                </c:pt>
                <c:pt idx="48">
                  <c:v>4.7999999999999996E-3</c:v>
                </c:pt>
                <c:pt idx="49">
                  <c:v>4.8999999999999998E-3</c:v>
                </c:pt>
                <c:pt idx="50">
                  <c:v>5.0000000000000001E-3</c:v>
                </c:pt>
                <c:pt idx="51">
                  <c:v>5.1000000000000004E-3</c:v>
                </c:pt>
                <c:pt idx="52">
                  <c:v>5.1999999999999998E-3</c:v>
                </c:pt>
                <c:pt idx="53">
                  <c:v>5.3E-3</c:v>
                </c:pt>
                <c:pt idx="54">
                  <c:v>5.4000000000000003E-3</c:v>
                </c:pt>
                <c:pt idx="55">
                  <c:v>5.4999999999999997E-3</c:v>
                </c:pt>
                <c:pt idx="56">
                  <c:v>5.5999999999999999E-3</c:v>
                </c:pt>
                <c:pt idx="57">
                  <c:v>5.7000000000000002E-3</c:v>
                </c:pt>
                <c:pt idx="58">
                  <c:v>5.7999999999999996E-3</c:v>
                </c:pt>
                <c:pt idx="59">
                  <c:v>5.8999999999999999E-3</c:v>
                </c:pt>
                <c:pt idx="60">
                  <c:v>6.0000000000000001E-3</c:v>
                </c:pt>
                <c:pt idx="61">
                  <c:v>6.1000000000000004E-3</c:v>
                </c:pt>
                <c:pt idx="62">
                  <c:v>6.1999999999999998E-3</c:v>
                </c:pt>
                <c:pt idx="63">
                  <c:v>6.3E-3</c:v>
                </c:pt>
                <c:pt idx="64">
                  <c:v>6.4000000000000003E-3</c:v>
                </c:pt>
                <c:pt idx="65">
                  <c:v>6.4999999999999997E-3</c:v>
                </c:pt>
                <c:pt idx="66">
                  <c:v>6.6E-3</c:v>
                </c:pt>
                <c:pt idx="67">
                  <c:v>6.7000000000000002E-3</c:v>
                </c:pt>
                <c:pt idx="68">
                  <c:v>6.7999999999999996E-3</c:v>
                </c:pt>
                <c:pt idx="69">
                  <c:v>6.8999999999999999E-3</c:v>
                </c:pt>
                <c:pt idx="70">
                  <c:v>7.0000000000000001E-3</c:v>
                </c:pt>
                <c:pt idx="71">
                  <c:v>7.1000000000000004E-3</c:v>
                </c:pt>
                <c:pt idx="72">
                  <c:v>7.1999999999999998E-3</c:v>
                </c:pt>
                <c:pt idx="73">
                  <c:v>7.3000000000000001E-3</c:v>
                </c:pt>
                <c:pt idx="74">
                  <c:v>7.4000000000000003E-3</c:v>
                </c:pt>
                <c:pt idx="75">
                  <c:v>7.4999999999999997E-3</c:v>
                </c:pt>
                <c:pt idx="76">
                  <c:v>7.6E-3</c:v>
                </c:pt>
                <c:pt idx="77">
                  <c:v>7.7000000000000002E-3</c:v>
                </c:pt>
                <c:pt idx="78">
                  <c:v>7.7999999999999996E-3</c:v>
                </c:pt>
                <c:pt idx="79">
                  <c:v>7.9000000000000008E-3</c:v>
                </c:pt>
                <c:pt idx="80">
                  <c:v>8.0000000000000002E-3</c:v>
                </c:pt>
                <c:pt idx="81">
                  <c:v>8.0999999999999996E-3</c:v>
                </c:pt>
                <c:pt idx="82">
                  <c:v>8.2000000000000007E-3</c:v>
                </c:pt>
                <c:pt idx="83">
                  <c:v>8.3000000000000001E-3</c:v>
                </c:pt>
                <c:pt idx="84">
                  <c:v>8.3999999999999995E-3</c:v>
                </c:pt>
                <c:pt idx="85">
                  <c:v>8.5000000000000006E-3</c:v>
                </c:pt>
                <c:pt idx="86">
                  <c:v>8.6E-3</c:v>
                </c:pt>
                <c:pt idx="87">
                  <c:v>8.6999999999999994E-3</c:v>
                </c:pt>
                <c:pt idx="88">
                  <c:v>8.8000000000000005E-3</c:v>
                </c:pt>
                <c:pt idx="89">
                  <c:v>8.8999999999999999E-3</c:v>
                </c:pt>
                <c:pt idx="90">
                  <c:v>8.9999999999999993E-3</c:v>
                </c:pt>
                <c:pt idx="91">
                  <c:v>9.1000000000000004E-3</c:v>
                </c:pt>
                <c:pt idx="92">
                  <c:v>9.1999999999999998E-3</c:v>
                </c:pt>
                <c:pt idx="93">
                  <c:v>9.2999999999999992E-3</c:v>
                </c:pt>
                <c:pt idx="94">
                  <c:v>9.4000000000000004E-3</c:v>
                </c:pt>
                <c:pt idx="95">
                  <c:v>9.4999999999999998E-3</c:v>
                </c:pt>
                <c:pt idx="96">
                  <c:v>9.5999999999999992E-3</c:v>
                </c:pt>
                <c:pt idx="97">
                  <c:v>9.7000000000000003E-3</c:v>
                </c:pt>
                <c:pt idx="98">
                  <c:v>9.7999999999999997E-3</c:v>
                </c:pt>
                <c:pt idx="99">
                  <c:v>9.9000000000000008E-3</c:v>
                </c:pt>
                <c:pt idx="100">
                  <c:v>0.01</c:v>
                </c:pt>
                <c:pt idx="101">
                  <c:v>1.01E-2</c:v>
                </c:pt>
              </c:numCache>
            </c:numRef>
          </c:xVal>
          <c:yVal>
            <c:numRef>
              <c:f>data_uniaxial!$U$9:$U$110</c:f>
              <c:numCache>
                <c:formatCode>General</c:formatCode>
                <c:ptCount val="102"/>
                <c:pt idx="1">
                  <c:v>0.33339637999999999</c:v>
                </c:pt>
                <c:pt idx="2">
                  <c:v>0.32915241500000003</c:v>
                </c:pt>
                <c:pt idx="3">
                  <c:v>0.30625921000000006</c:v>
                </c:pt>
                <c:pt idx="4">
                  <c:v>0.284847925</c:v>
                </c:pt>
                <c:pt idx="5">
                  <c:v>0.26755656</c:v>
                </c:pt>
                <c:pt idx="6">
                  <c:v>0.26003710000000002</c:v>
                </c:pt>
                <c:pt idx="7">
                  <c:v>0.25462955714285718</c:v>
                </c:pt>
                <c:pt idx="8">
                  <c:v>0.24576127499999997</c:v>
                </c:pt>
                <c:pt idx="9">
                  <c:v>0.23510591111111112</c:v>
                </c:pt>
                <c:pt idx="10">
                  <c:v>0.23359885</c:v>
                </c:pt>
                <c:pt idx="11">
                  <c:v>0.25064695454545455</c:v>
                </c:pt>
                <c:pt idx="12">
                  <c:v>0.27999830833333339</c:v>
                </c:pt>
                <c:pt idx="13">
                  <c:v>0.30315433846153844</c:v>
                </c:pt>
                <c:pt idx="14">
                  <c:v>0.30728850714285716</c:v>
                </c:pt>
                <c:pt idx="15">
                  <c:v>0.29390484</c:v>
                </c:pt>
                <c:pt idx="16">
                  <c:v>0.28329589374999997</c:v>
                </c:pt>
                <c:pt idx="17">
                  <c:v>0.27642082941176471</c:v>
                </c:pt>
                <c:pt idx="18">
                  <c:v>0.26998411666666666</c:v>
                </c:pt>
                <c:pt idx="19">
                  <c:v>0.26510635789473685</c:v>
                </c:pt>
                <c:pt idx="20">
                  <c:v>0.262837455</c:v>
                </c:pt>
                <c:pt idx="21">
                  <c:v>0.26666003333333332</c:v>
                </c:pt>
                <c:pt idx="22">
                  <c:v>0.2774843954545454</c:v>
                </c:pt>
                <c:pt idx="23">
                  <c:v>0.29075049130434782</c:v>
                </c:pt>
                <c:pt idx="24">
                  <c:v>0.29470444166666671</c:v>
                </c:pt>
                <c:pt idx="25">
                  <c:v>0.28511587999999999</c:v>
                </c:pt>
                <c:pt idx="26">
                  <c:v>0.26935514615384615</c:v>
                </c:pt>
                <c:pt idx="27">
                  <c:v>0.25899746666666668</c:v>
                </c:pt>
                <c:pt idx="28">
                  <c:v>0.26001298214285712</c:v>
                </c:pt>
                <c:pt idx="29">
                  <c:v>0.26999575172413792</c:v>
                </c:pt>
                <c:pt idx="30">
                  <c:v>0.27918282999999999</c:v>
                </c:pt>
                <c:pt idx="31">
                  <c:v>0.27997891612903231</c:v>
                </c:pt>
                <c:pt idx="32">
                  <c:v>0.27598757812499997</c:v>
                </c:pt>
                <c:pt idx="33">
                  <c:v>0.27215515757575759</c:v>
                </c:pt>
                <c:pt idx="34">
                  <c:v>0.26933984999999999</c:v>
                </c:pt>
                <c:pt idx="35">
                  <c:v>0.26850998857142855</c:v>
                </c:pt>
                <c:pt idx="36">
                  <c:v>0.27022746666666669</c:v>
                </c:pt>
                <c:pt idx="37">
                  <c:v>0.27461294594594593</c:v>
                </c:pt>
                <c:pt idx="38">
                  <c:v>0.28000602631578947</c:v>
                </c:pt>
                <c:pt idx="39">
                  <c:v>0.27674764102564103</c:v>
                </c:pt>
                <c:pt idx="40">
                  <c:v>0.266376275</c:v>
                </c:pt>
                <c:pt idx="41">
                  <c:v>0.25996514634146339</c:v>
                </c:pt>
                <c:pt idx="42">
                  <c:v>0.26515030952380952</c:v>
                </c:pt>
                <c:pt idx="43">
                  <c:v>0.27766627906976743</c:v>
                </c:pt>
                <c:pt idx="44">
                  <c:v>0.28409038636363632</c:v>
                </c:pt>
                <c:pt idx="45">
                  <c:v>0.27715679999999998</c:v>
                </c:pt>
                <c:pt idx="46">
                  <c:v>0.26594702173913043</c:v>
                </c:pt>
                <c:pt idx="47">
                  <c:v>0.2640145319148936</c:v>
                </c:pt>
                <c:pt idx="48">
                  <c:v>0.27012210416666671</c:v>
                </c:pt>
                <c:pt idx="49">
                  <c:v>0.27467046938775508</c:v>
                </c:pt>
                <c:pt idx="50">
                  <c:v>0.27397756000000001</c:v>
                </c:pt>
                <c:pt idx="51">
                  <c:v>0.27045682352941175</c:v>
                </c:pt>
                <c:pt idx="52">
                  <c:v>0.2681385</c:v>
                </c:pt>
                <c:pt idx="53">
                  <c:v>0.2692966603773585</c:v>
                </c:pt>
                <c:pt idx="54">
                  <c:v>0.27258633333333332</c:v>
                </c:pt>
                <c:pt idx="55">
                  <c:v>0.27483987272727273</c:v>
                </c:pt>
                <c:pt idx="56">
                  <c:v>0.27019551785714285</c:v>
                </c:pt>
                <c:pt idx="57">
                  <c:v>0.26199971929824561</c:v>
                </c:pt>
                <c:pt idx="58">
                  <c:v>0.26652543103448278</c:v>
                </c:pt>
                <c:pt idx="59">
                  <c:v>0.28021027118644071</c:v>
                </c:pt>
                <c:pt idx="60">
                  <c:v>0.28046398333333333</c:v>
                </c:pt>
                <c:pt idx="61">
                  <c:v>0.26942795081967214</c:v>
                </c:pt>
                <c:pt idx="62">
                  <c:v>0.26754772580645164</c:v>
                </c:pt>
                <c:pt idx="63">
                  <c:v>0.27314544444444444</c:v>
                </c:pt>
                <c:pt idx="64">
                  <c:v>0.27580629687500002</c:v>
                </c:pt>
                <c:pt idx="65">
                  <c:v>0.2733985384615385</c:v>
                </c:pt>
                <c:pt idx="66">
                  <c:v>0.26967628787878789</c:v>
                </c:pt>
                <c:pt idx="67">
                  <c:v>0.2698051641791045</c:v>
                </c:pt>
                <c:pt idx="68">
                  <c:v>0.27257532352941177</c:v>
                </c:pt>
                <c:pt idx="69">
                  <c:v>0.27194430434782607</c:v>
                </c:pt>
                <c:pt idx="70">
                  <c:v>0.26735304285714284</c:v>
                </c:pt>
                <c:pt idx="71">
                  <c:v>0.26688961971830988</c:v>
                </c:pt>
                <c:pt idx="72">
                  <c:v>0.27439009722222224</c:v>
                </c:pt>
                <c:pt idx="73">
                  <c:v>0.27764647945205478</c:v>
                </c:pt>
                <c:pt idx="74">
                  <c:v>0.2682658108108108</c:v>
                </c:pt>
                <c:pt idx="75">
                  <c:v>0.26580761333333336</c:v>
                </c:pt>
                <c:pt idx="76">
                  <c:v>0.27664234210526317</c:v>
                </c:pt>
                <c:pt idx="77">
                  <c:v>0.27642820779220778</c:v>
                </c:pt>
                <c:pt idx="78">
                  <c:v>0.26606310256410254</c:v>
                </c:pt>
                <c:pt idx="79">
                  <c:v>0.26691464556962025</c:v>
                </c:pt>
                <c:pt idx="80">
                  <c:v>0.2711438625</c:v>
                </c:pt>
                <c:pt idx="81">
                  <c:v>0.27168274074074072</c:v>
                </c:pt>
                <c:pt idx="82">
                  <c:v>0.27075821951219514</c:v>
                </c:pt>
                <c:pt idx="83">
                  <c:v>0.27136092771084336</c:v>
                </c:pt>
                <c:pt idx="84">
                  <c:v>0.27240980952380955</c:v>
                </c:pt>
                <c:pt idx="85">
                  <c:v>0.26987869411764703</c:v>
                </c:pt>
                <c:pt idx="86">
                  <c:v>0.26617403488372093</c:v>
                </c:pt>
                <c:pt idx="87">
                  <c:v>0.27109572413793104</c:v>
                </c:pt>
                <c:pt idx="88">
                  <c:v>0.27545363636363634</c:v>
                </c:pt>
                <c:pt idx="89">
                  <c:v>0.26746857303370786</c:v>
                </c:pt>
                <c:pt idx="90">
                  <c:v>0.26749387777777783</c:v>
                </c:pt>
                <c:pt idx="91">
                  <c:v>0.27597267032967032</c:v>
                </c:pt>
                <c:pt idx="92">
                  <c:v>0.26918121739130435</c:v>
                </c:pt>
                <c:pt idx="93">
                  <c:v>0.26503879569892475</c:v>
                </c:pt>
                <c:pt idx="94">
                  <c:v>0.27217885106382977</c:v>
                </c:pt>
                <c:pt idx="95">
                  <c:v>0.27239915789473684</c:v>
                </c:pt>
                <c:pt idx="96">
                  <c:v>0.2688283125</c:v>
                </c:pt>
                <c:pt idx="97">
                  <c:v>0.26890460824742268</c:v>
                </c:pt>
                <c:pt idx="98">
                  <c:v>0.27034242857142859</c:v>
                </c:pt>
                <c:pt idx="99">
                  <c:v>0.2688893434343434</c:v>
                </c:pt>
                <c:pt idx="100">
                  <c:v>0.26976546000000001</c:v>
                </c:pt>
                <c:pt idx="101">
                  <c:v>0.27410359405940593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0B-44EC-B431-93236E99D7C4}"/>
            </c:ext>
          </c:extLst>
        </c:ser>
        <c:ser>
          <c:idx val="1"/>
          <c:order val="1"/>
          <c:tx>
            <c:v>Poisson's ratio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0.01</c:v>
              </c:pt>
            </c:numLit>
          </c:xVal>
          <c:yVal>
            <c:numRef>
              <c:f>(data_uniaxial!$U$3,data_uniaxial!$U$3)</c:f>
              <c:numCache>
                <c:formatCode>General</c:formatCode>
                <c:ptCount val="2"/>
                <c:pt idx="0">
                  <c:v>0.27139860723220965</c:v>
                </c:pt>
                <c:pt idx="1">
                  <c:v>0.27139860723220965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0B-44EC-B431-93236E99D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290384"/>
        <c:axId val="566340640"/>
      </c:scatterChart>
      <c:valAx>
        <c:axId val="575290384"/>
        <c:scaling>
          <c:orientation val="minMax"/>
          <c:max val="1.0000000000000002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i="1"/>
                  <a:t>ε</a:t>
                </a:r>
                <a:r>
                  <a:rPr lang="en-US" i="1" baseline="-25000"/>
                  <a:t>xx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340640"/>
        <c:crosses val="autoZero"/>
        <c:crossBetween val="midCat"/>
      </c:valAx>
      <c:valAx>
        <c:axId val="566340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-</a:t>
                </a:r>
                <a:r>
                  <a:rPr lang="el-GR" i="1"/>
                  <a:t>ε</a:t>
                </a:r>
                <a:r>
                  <a:rPr lang="en-US" i="1" baseline="-25000"/>
                  <a:t>yy</a:t>
                </a:r>
                <a:r>
                  <a:rPr lang="en-US" i="1"/>
                  <a:t>/</a:t>
                </a:r>
                <a:r>
                  <a:rPr lang="el-GR" i="1"/>
                  <a:t>ε</a:t>
                </a:r>
                <a:r>
                  <a:rPr lang="en-US" i="1" baseline="-25000"/>
                  <a:t>xx</a:t>
                </a:r>
                <a:endParaRPr lang="en-US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9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0</xdr:rowOff>
    </xdr:from>
    <xdr:to>
      <xdr:col>29</xdr:col>
      <xdr:colOff>304800</xdr:colOff>
      <xdr:row>22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D290C0-4685-43BB-BEE8-8709F722E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24</xdr:row>
      <xdr:rowOff>0</xdr:rowOff>
    </xdr:from>
    <xdr:to>
      <xdr:col>29</xdr:col>
      <xdr:colOff>304800</xdr:colOff>
      <xdr:row>39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67E9BE-3E61-4F12-8ABA-AD5A8396F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F8CF-E341-470C-BF17-C3759BDF9D38}">
  <dimension ref="A1:U209"/>
  <sheetViews>
    <sheetView tabSelected="1" zoomScale="70" zoomScaleNormal="70" workbookViewId="0">
      <selection activeCell="U3" sqref="U3"/>
    </sheetView>
  </sheetViews>
  <sheetFormatPr defaultRowHeight="14.4" x14ac:dyDescent="0.3"/>
  <cols>
    <col min="2" max="3" width="9" bestFit="1" customWidth="1"/>
    <col min="4" max="4" width="12.77734375" bestFit="1" customWidth="1"/>
    <col min="5" max="9" width="9" bestFit="1" customWidth="1"/>
    <col min="10" max="10" width="13.33203125" bestFit="1" customWidth="1"/>
    <col min="11" max="16" width="9" bestFit="1" customWidth="1"/>
    <col min="18" max="21" width="9" bestFit="1" customWidth="1"/>
  </cols>
  <sheetData>
    <row r="1" spans="1:21" x14ac:dyDescent="0.3">
      <c r="A1" t="s">
        <v>15</v>
      </c>
      <c r="B1">
        <v>101325</v>
      </c>
      <c r="C1" t="s">
        <v>16</v>
      </c>
    </row>
    <row r="2" spans="1:21" x14ac:dyDescent="0.3">
      <c r="A2" t="s">
        <v>10</v>
      </c>
      <c r="B2">
        <f>1*10^-10</f>
        <v>1E-10</v>
      </c>
      <c r="C2" t="s">
        <v>14</v>
      </c>
    </row>
    <row r="3" spans="1:21" x14ac:dyDescent="0.3">
      <c r="A3" t="s">
        <v>11</v>
      </c>
      <c r="B3">
        <f>B2*B1</f>
        <v>1.01325E-5</v>
      </c>
      <c r="C3" t="s">
        <v>17</v>
      </c>
      <c r="U3">
        <f>AVERAGE(U59:U79)</f>
        <v>0.27139860723220965</v>
      </c>
    </row>
    <row r="4" spans="1:21" x14ac:dyDescent="0.3">
      <c r="A4" t="s">
        <v>25</v>
      </c>
      <c r="B4">
        <v>30</v>
      </c>
      <c r="N4">
        <f>N9/B4</f>
        <v>2.5145999666666667</v>
      </c>
      <c r="O4">
        <f>O9/B5/SQRT(3)</f>
        <v>2.5145998302324442</v>
      </c>
    </row>
    <row r="5" spans="1:21" x14ac:dyDescent="0.3">
      <c r="A5" t="s">
        <v>26</v>
      </c>
      <c r="B5">
        <v>15</v>
      </c>
    </row>
    <row r="8" spans="1:21" ht="15.6" x14ac:dyDescent="0.35">
      <c r="B8" t="s">
        <v>0</v>
      </c>
      <c r="C8" t="s">
        <v>18</v>
      </c>
      <c r="D8" t="s">
        <v>19</v>
      </c>
      <c r="E8" t="s">
        <v>20</v>
      </c>
      <c r="F8" t="s">
        <v>1</v>
      </c>
      <c r="G8" t="s">
        <v>2</v>
      </c>
      <c r="H8" t="s">
        <v>3</v>
      </c>
      <c r="I8" t="s">
        <v>4</v>
      </c>
      <c r="J8" t="s">
        <v>5</v>
      </c>
      <c r="K8" t="s">
        <v>6</v>
      </c>
      <c r="L8" t="s">
        <v>7</v>
      </c>
      <c r="M8" t="s">
        <v>12</v>
      </c>
      <c r="N8" t="s">
        <v>8</v>
      </c>
      <c r="O8" t="s">
        <v>9</v>
      </c>
      <c r="P8" t="s">
        <v>13</v>
      </c>
      <c r="R8" t="s">
        <v>22</v>
      </c>
      <c r="S8" t="s">
        <v>23</v>
      </c>
      <c r="T8" t="s">
        <v>24</v>
      </c>
      <c r="U8" t="s">
        <v>21</v>
      </c>
    </row>
    <row r="9" spans="1:21" x14ac:dyDescent="0.3">
      <c r="B9">
        <v>0</v>
      </c>
      <c r="C9">
        <v>0</v>
      </c>
      <c r="D9">
        <v>-6.5256035000000003E-16</v>
      </c>
      <c r="E9">
        <v>0</v>
      </c>
      <c r="F9">
        <v>1.0302070999999999</v>
      </c>
      <c r="G9">
        <v>0.30987054000000003</v>
      </c>
      <c r="H9">
        <v>9.3089814000000007E-2</v>
      </c>
      <c r="I9">
        <v>5.7071838999999999E-2</v>
      </c>
      <c r="J9">
        <v>5.8906435000000003E-14</v>
      </c>
      <c r="K9">
        <v>-82.115718000000001</v>
      </c>
      <c r="L9">
        <v>71.160589999999999</v>
      </c>
      <c r="M9">
        <v>72.784874000000002</v>
      </c>
      <c r="N9">
        <v>75.437999000000005</v>
      </c>
      <c r="O9">
        <v>65.331220000000002</v>
      </c>
      <c r="P9">
        <v>0</v>
      </c>
      <c r="R9">
        <f>-K9*$B$3</f>
        <v>8.3203751263499998E-4</v>
      </c>
      <c r="S9">
        <f t="shared" ref="S9:S72" si="0">-L9*$B$3</f>
        <v>-7.2103467817499994E-4</v>
      </c>
      <c r="T9">
        <f t="shared" ref="T9:T72" si="1">-M9*$B$3</f>
        <v>-7.3749273580500001E-4</v>
      </c>
    </row>
    <row r="10" spans="1:21" x14ac:dyDescent="0.3">
      <c r="B10">
        <v>500</v>
      </c>
      <c r="C10">
        <v>1E-4</v>
      </c>
      <c r="D10">
        <v>-3.3339637999999999E-5</v>
      </c>
      <c r="E10">
        <v>0</v>
      </c>
      <c r="F10">
        <v>0.99648797</v>
      </c>
      <c r="G10">
        <v>0.31153376999999999</v>
      </c>
      <c r="H10">
        <v>0.10507916</v>
      </c>
      <c r="I10">
        <v>5.1973062E-2</v>
      </c>
      <c r="J10">
        <v>6.0637494999999997E-14</v>
      </c>
      <c r="K10">
        <v>-2477.9920000000002</v>
      </c>
      <c r="L10">
        <v>125.59430999999999</v>
      </c>
      <c r="M10">
        <v>-292.14465000000001</v>
      </c>
      <c r="N10">
        <v>75.445543000000001</v>
      </c>
      <c r="O10">
        <v>65.329042000000001</v>
      </c>
      <c r="P10">
        <v>0</v>
      </c>
      <c r="R10">
        <f t="shared" ref="R10:R73" si="2">-K10*$B$3</f>
        <v>2.5108253940000002E-2</v>
      </c>
      <c r="S10">
        <f t="shared" si="0"/>
        <v>-1.2725843460749998E-3</v>
      </c>
      <c r="T10">
        <f t="shared" si="1"/>
        <v>2.9601556661250001E-3</v>
      </c>
      <c r="U10">
        <f t="shared" ref="U10:U73" si="3">-D10/C10</f>
        <v>0.33339637999999999</v>
      </c>
    </row>
    <row r="11" spans="1:21" x14ac:dyDescent="0.3">
      <c r="B11">
        <v>1000</v>
      </c>
      <c r="C11">
        <v>2.0000000000000001E-4</v>
      </c>
      <c r="D11">
        <v>-6.5830483000000006E-5</v>
      </c>
      <c r="E11">
        <v>0</v>
      </c>
      <c r="F11">
        <v>1.0167900999999999</v>
      </c>
      <c r="G11">
        <v>0.32035613000000002</v>
      </c>
      <c r="H11">
        <v>0.10432234</v>
      </c>
      <c r="I11">
        <v>5.8404901000000002E-2</v>
      </c>
      <c r="J11">
        <v>5.9266370000000006E-14</v>
      </c>
      <c r="K11">
        <v>-4947.0968000000003</v>
      </c>
      <c r="L11">
        <v>184.82074</v>
      </c>
      <c r="M11">
        <v>463.31590999999997</v>
      </c>
      <c r="N11">
        <v>75.453085999999999</v>
      </c>
      <c r="O11">
        <v>65.326919000000004</v>
      </c>
      <c r="P11">
        <v>0</v>
      </c>
      <c r="R11">
        <f t="shared" si="2"/>
        <v>5.0126458326000004E-2</v>
      </c>
      <c r="S11">
        <f t="shared" si="0"/>
        <v>-1.8726961480500001E-3</v>
      </c>
      <c r="T11">
        <f t="shared" si="1"/>
        <v>-4.6945484580749996E-3</v>
      </c>
      <c r="U11">
        <f t="shared" si="3"/>
        <v>0.32915241500000003</v>
      </c>
    </row>
    <row r="12" spans="1:21" x14ac:dyDescent="0.3">
      <c r="B12">
        <v>1500</v>
      </c>
      <c r="C12">
        <v>2.9999999999999997E-4</v>
      </c>
      <c r="D12">
        <v>-9.1877763000000002E-5</v>
      </c>
      <c r="E12">
        <v>0</v>
      </c>
      <c r="F12">
        <v>1.0001163</v>
      </c>
      <c r="G12">
        <v>0.32460665</v>
      </c>
      <c r="H12">
        <v>0.10967966</v>
      </c>
      <c r="I12">
        <v>5.9882959999999999E-2</v>
      </c>
      <c r="J12">
        <v>5.9088067999999998E-14</v>
      </c>
      <c r="K12">
        <v>-7606.8982999999998</v>
      </c>
      <c r="L12">
        <v>219.64073999999999</v>
      </c>
      <c r="M12">
        <v>-523.75504999999998</v>
      </c>
      <c r="N12">
        <v>75.460629999999995</v>
      </c>
      <c r="O12">
        <v>65.325218000000007</v>
      </c>
      <c r="P12">
        <v>0</v>
      </c>
      <c r="R12">
        <f t="shared" si="2"/>
        <v>7.7076897024749999E-2</v>
      </c>
      <c r="S12">
        <f t="shared" si="0"/>
        <v>-2.2255097980499999E-3</v>
      </c>
      <c r="T12">
        <f t="shared" si="1"/>
        <v>5.3069480441250002E-3</v>
      </c>
      <c r="U12">
        <f t="shared" si="3"/>
        <v>0.30625921000000006</v>
      </c>
    </row>
    <row r="13" spans="1:21" x14ac:dyDescent="0.3">
      <c r="B13">
        <v>2000</v>
      </c>
      <c r="C13">
        <v>4.0000000000000002E-4</v>
      </c>
      <c r="D13">
        <v>-1.1393917000000001E-4</v>
      </c>
      <c r="E13">
        <v>0</v>
      </c>
      <c r="F13">
        <v>1.0568008</v>
      </c>
      <c r="G13">
        <v>0.32396487000000002</v>
      </c>
      <c r="H13">
        <v>0.10020028</v>
      </c>
      <c r="I13">
        <v>5.9932992999999997E-2</v>
      </c>
      <c r="J13">
        <v>5.9976023999999997E-14</v>
      </c>
      <c r="K13">
        <v>-10382.999</v>
      </c>
      <c r="L13">
        <v>207.25650999999999</v>
      </c>
      <c r="M13">
        <v>485.47190000000001</v>
      </c>
      <c r="N13">
        <v>75.468174000000005</v>
      </c>
      <c r="O13">
        <v>65.323775999999995</v>
      </c>
      <c r="P13">
        <v>0</v>
      </c>
      <c r="R13">
        <f t="shared" si="2"/>
        <v>0.1052057373675</v>
      </c>
      <c r="S13">
        <f t="shared" si="0"/>
        <v>-2.100026587575E-3</v>
      </c>
      <c r="T13">
        <f t="shared" si="1"/>
        <v>-4.9190440267499998E-3</v>
      </c>
      <c r="U13">
        <f t="shared" si="3"/>
        <v>0.284847925</v>
      </c>
    </row>
    <row r="14" spans="1:21" x14ac:dyDescent="0.3">
      <c r="B14">
        <v>2500</v>
      </c>
      <c r="C14">
        <v>5.0000000000000001E-4</v>
      </c>
      <c r="D14">
        <v>-1.3377828E-4</v>
      </c>
      <c r="E14">
        <v>0</v>
      </c>
      <c r="F14">
        <v>1.0382027</v>
      </c>
      <c r="G14">
        <v>0.32279565999999998</v>
      </c>
      <c r="H14">
        <v>0.1040127</v>
      </c>
      <c r="I14">
        <v>5.7834554000000003E-2</v>
      </c>
      <c r="J14">
        <v>6.0289329000000002E-14</v>
      </c>
      <c r="K14">
        <v>-13080.106</v>
      </c>
      <c r="L14">
        <v>59.248396</v>
      </c>
      <c r="M14">
        <v>-389.75851</v>
      </c>
      <c r="N14">
        <v>75.475718000000001</v>
      </c>
      <c r="O14">
        <v>65.322479999999999</v>
      </c>
      <c r="P14">
        <v>0</v>
      </c>
      <c r="R14">
        <f t="shared" si="2"/>
        <v>0.13253417404500001</v>
      </c>
      <c r="S14">
        <f t="shared" si="0"/>
        <v>-6.0033437246999994E-4</v>
      </c>
      <c r="T14">
        <f t="shared" si="1"/>
        <v>3.9492281025749996E-3</v>
      </c>
      <c r="U14">
        <f t="shared" si="3"/>
        <v>0.26755656</v>
      </c>
    </row>
    <row r="15" spans="1:21" x14ac:dyDescent="0.3">
      <c r="B15">
        <v>3000</v>
      </c>
      <c r="C15">
        <v>5.9999999999999995E-4</v>
      </c>
      <c r="D15">
        <v>-1.5602226000000001E-4</v>
      </c>
      <c r="E15">
        <v>0</v>
      </c>
      <c r="F15">
        <v>0.94856545999999997</v>
      </c>
      <c r="G15">
        <v>0.31845139</v>
      </c>
      <c r="H15">
        <v>0.11093623</v>
      </c>
      <c r="I15">
        <v>6.046286E-2</v>
      </c>
      <c r="J15">
        <v>5.8397286999999999E-14</v>
      </c>
      <c r="K15">
        <v>-15619.504999999999</v>
      </c>
      <c r="L15">
        <v>-165.72805</v>
      </c>
      <c r="M15">
        <v>243.85755</v>
      </c>
      <c r="N15">
        <v>75.483261999999996</v>
      </c>
      <c r="O15">
        <v>65.321027000000001</v>
      </c>
      <c r="P15">
        <v>0</v>
      </c>
      <c r="R15">
        <f t="shared" si="2"/>
        <v>0.15826463441249999</v>
      </c>
      <c r="S15">
        <f t="shared" si="0"/>
        <v>1.679239466625E-3</v>
      </c>
      <c r="T15">
        <f t="shared" si="1"/>
        <v>-2.4708866253749999E-3</v>
      </c>
      <c r="U15">
        <f t="shared" si="3"/>
        <v>0.26003710000000002</v>
      </c>
    </row>
    <row r="16" spans="1:21" x14ac:dyDescent="0.3">
      <c r="B16">
        <v>3500</v>
      </c>
      <c r="C16">
        <v>6.9999999999999999E-4</v>
      </c>
      <c r="D16">
        <v>-1.7824069000000001E-4</v>
      </c>
      <c r="E16">
        <v>0</v>
      </c>
      <c r="F16">
        <v>0.96703625000000004</v>
      </c>
      <c r="G16">
        <v>0.32292817000000001</v>
      </c>
      <c r="H16">
        <v>0.11082775</v>
      </c>
      <c r="I16">
        <v>6.2184656999999997E-2</v>
      </c>
      <c r="J16">
        <v>5.8586691000000002E-14</v>
      </c>
      <c r="K16">
        <v>-18088.346000000001</v>
      </c>
      <c r="L16">
        <v>-463.07861000000003</v>
      </c>
      <c r="M16">
        <v>-83.426396999999994</v>
      </c>
      <c r="N16">
        <v>75.490804999999995</v>
      </c>
      <c r="O16">
        <v>65.319575</v>
      </c>
      <c r="P16">
        <v>0</v>
      </c>
      <c r="R16">
        <f t="shared" si="2"/>
        <v>0.18328016584500001</v>
      </c>
      <c r="S16">
        <f t="shared" si="0"/>
        <v>4.6921440158249998E-3</v>
      </c>
      <c r="T16">
        <f t="shared" si="1"/>
        <v>8.4531796760249991E-4</v>
      </c>
      <c r="U16">
        <f t="shared" si="3"/>
        <v>0.25462955714285718</v>
      </c>
    </row>
    <row r="17" spans="2:21" x14ac:dyDescent="0.3">
      <c r="B17">
        <v>4000</v>
      </c>
      <c r="C17">
        <v>8.0000000000000004E-4</v>
      </c>
      <c r="D17">
        <v>-1.9660901999999999E-4</v>
      </c>
      <c r="E17">
        <v>0</v>
      </c>
      <c r="F17">
        <v>1.0102990999999999</v>
      </c>
      <c r="G17">
        <v>0.33701228</v>
      </c>
      <c r="H17">
        <v>0.1116896</v>
      </c>
      <c r="I17">
        <v>6.8700053999999997E-2</v>
      </c>
      <c r="J17">
        <v>5.8065774000000002E-14</v>
      </c>
      <c r="K17">
        <v>-20607.931</v>
      </c>
      <c r="L17">
        <v>-847.89029000000005</v>
      </c>
      <c r="M17">
        <v>-92.05189</v>
      </c>
      <c r="N17">
        <v>75.498349000000005</v>
      </c>
      <c r="O17">
        <v>65.318375000000003</v>
      </c>
      <c r="P17">
        <v>0</v>
      </c>
      <c r="R17">
        <f t="shared" si="2"/>
        <v>0.2088098608575</v>
      </c>
      <c r="S17">
        <f t="shared" si="0"/>
        <v>8.5912483634250011E-3</v>
      </c>
      <c r="T17">
        <f t="shared" si="1"/>
        <v>9.3271577542500001E-4</v>
      </c>
      <c r="U17">
        <f t="shared" si="3"/>
        <v>0.24576127499999997</v>
      </c>
    </row>
    <row r="18" spans="2:21" x14ac:dyDescent="0.3">
      <c r="B18">
        <v>4500</v>
      </c>
      <c r="C18">
        <v>8.9999999999999998E-4</v>
      </c>
      <c r="D18">
        <v>-2.1159531999999999E-4</v>
      </c>
      <c r="E18">
        <v>0</v>
      </c>
      <c r="F18">
        <v>0.93921304000000005</v>
      </c>
      <c r="G18">
        <v>0.34880333000000002</v>
      </c>
      <c r="H18">
        <v>0.12666206999999999</v>
      </c>
      <c r="I18">
        <v>7.6538824000000005E-2</v>
      </c>
      <c r="J18">
        <v>5.8105075999999995E-14</v>
      </c>
      <c r="K18">
        <v>-23237.074000000001</v>
      </c>
      <c r="L18">
        <v>-1227.5824</v>
      </c>
      <c r="M18">
        <v>230.38701</v>
      </c>
      <c r="N18">
        <v>75.505893</v>
      </c>
      <c r="O18">
        <v>65.317396000000002</v>
      </c>
      <c r="P18">
        <v>0</v>
      </c>
      <c r="R18">
        <f t="shared" si="2"/>
        <v>0.23544965230500001</v>
      </c>
      <c r="S18">
        <f t="shared" si="0"/>
        <v>1.2438478668E-2</v>
      </c>
      <c r="T18">
        <f t="shared" si="1"/>
        <v>-2.3343963788249999E-3</v>
      </c>
      <c r="U18">
        <f t="shared" si="3"/>
        <v>0.23510591111111112</v>
      </c>
    </row>
    <row r="19" spans="2:21" x14ac:dyDescent="0.3">
      <c r="B19">
        <v>5000</v>
      </c>
      <c r="C19">
        <v>1E-3</v>
      </c>
      <c r="D19">
        <v>-2.3359885E-4</v>
      </c>
      <c r="E19">
        <v>0</v>
      </c>
      <c r="F19">
        <v>1.0806328000000001</v>
      </c>
      <c r="G19">
        <v>0.35754932</v>
      </c>
      <c r="H19">
        <v>0.1197276</v>
      </c>
      <c r="I19">
        <v>7.0295534000000007E-2</v>
      </c>
      <c r="J19">
        <v>5.8818949999999995E-14</v>
      </c>
      <c r="K19">
        <v>-25953.212</v>
      </c>
      <c r="L19">
        <v>-1278.241</v>
      </c>
      <c r="M19">
        <v>-337.36196999999999</v>
      </c>
      <c r="N19">
        <v>75.513436999999996</v>
      </c>
      <c r="O19">
        <v>65.315959000000007</v>
      </c>
      <c r="P19">
        <v>0</v>
      </c>
      <c r="R19">
        <f t="shared" si="2"/>
        <v>0.26297092058999999</v>
      </c>
      <c r="S19">
        <f t="shared" si="0"/>
        <v>1.2951776932499999E-2</v>
      </c>
      <c r="T19">
        <f t="shared" si="1"/>
        <v>3.4183201610250001E-3</v>
      </c>
      <c r="U19">
        <f t="shared" si="3"/>
        <v>0.23359885</v>
      </c>
    </row>
    <row r="20" spans="2:21" x14ac:dyDescent="0.3">
      <c r="B20">
        <v>5500</v>
      </c>
      <c r="C20">
        <v>1.1000000000000001E-3</v>
      </c>
      <c r="D20">
        <v>-2.7571164999999999E-4</v>
      </c>
      <c r="E20">
        <v>0</v>
      </c>
      <c r="F20">
        <v>0.97406886000000004</v>
      </c>
      <c r="G20">
        <v>0.36732696999999997</v>
      </c>
      <c r="H20">
        <v>0.13469975000000001</v>
      </c>
      <c r="I20">
        <v>8.1621228000000004E-2</v>
      </c>
      <c r="J20">
        <v>5.9414695000000003E-14</v>
      </c>
      <c r="K20">
        <v>-28578.794000000002</v>
      </c>
      <c r="L20">
        <v>-702.94421999999997</v>
      </c>
      <c r="M20">
        <v>408.85937000000001</v>
      </c>
      <c r="N20">
        <v>75.520981000000006</v>
      </c>
      <c r="O20">
        <v>65.313208000000003</v>
      </c>
      <c r="P20">
        <v>0</v>
      </c>
      <c r="R20">
        <f t="shared" si="2"/>
        <v>0.28957463020500002</v>
      </c>
      <c r="S20">
        <f t="shared" si="0"/>
        <v>7.1225823091499996E-3</v>
      </c>
      <c r="T20">
        <f t="shared" si="1"/>
        <v>-4.142767566525E-3</v>
      </c>
      <c r="U20">
        <f t="shared" si="3"/>
        <v>0.25064695454545455</v>
      </c>
    </row>
    <row r="21" spans="2:21" x14ac:dyDescent="0.3">
      <c r="B21">
        <v>6000</v>
      </c>
      <c r="C21">
        <v>1.1999999999999999E-3</v>
      </c>
      <c r="D21">
        <v>-3.3599797000000002E-4</v>
      </c>
      <c r="E21">
        <v>0</v>
      </c>
      <c r="F21">
        <v>0.97962128999999998</v>
      </c>
      <c r="G21">
        <v>0.36841038999999998</v>
      </c>
      <c r="H21">
        <v>0.13707352</v>
      </c>
      <c r="I21">
        <v>7.9470098000000003E-2</v>
      </c>
      <c r="J21">
        <v>5.8621774000000003E-14</v>
      </c>
      <c r="K21">
        <v>-31050.493999999999</v>
      </c>
      <c r="L21">
        <v>366.37279999999998</v>
      </c>
      <c r="M21">
        <v>-466.13101999999998</v>
      </c>
      <c r="N21">
        <v>75.528524000000004</v>
      </c>
      <c r="O21">
        <v>65.309269</v>
      </c>
      <c r="P21">
        <v>0</v>
      </c>
      <c r="R21">
        <f t="shared" si="2"/>
        <v>0.31461913045500001</v>
      </c>
      <c r="S21">
        <f t="shared" si="0"/>
        <v>-3.7122723959999997E-3</v>
      </c>
      <c r="T21">
        <f t="shared" si="1"/>
        <v>4.7230725601499993E-3</v>
      </c>
      <c r="U21">
        <f t="shared" si="3"/>
        <v>0.27999830833333339</v>
      </c>
    </row>
    <row r="22" spans="2:21" x14ac:dyDescent="0.3">
      <c r="B22">
        <v>6500</v>
      </c>
      <c r="C22">
        <v>1.2999999999999999E-3</v>
      </c>
      <c r="D22">
        <v>-3.9410063999999997E-4</v>
      </c>
      <c r="E22">
        <v>0</v>
      </c>
      <c r="F22">
        <v>1.0303789999999999</v>
      </c>
      <c r="G22">
        <v>0.38267901999999998</v>
      </c>
      <c r="H22">
        <v>0.13609135</v>
      </c>
      <c r="I22">
        <v>8.6852132999999998E-2</v>
      </c>
      <c r="J22">
        <v>5.9254157000000003E-14</v>
      </c>
      <c r="K22">
        <v>-33459.148999999998</v>
      </c>
      <c r="L22">
        <v>1281.8507</v>
      </c>
      <c r="M22">
        <v>501.70132000000001</v>
      </c>
      <c r="N22">
        <v>75.536068</v>
      </c>
      <c r="O22">
        <v>65.305473000000006</v>
      </c>
      <c r="P22">
        <v>0</v>
      </c>
      <c r="R22">
        <f t="shared" si="2"/>
        <v>0.33902482724249999</v>
      </c>
      <c r="S22">
        <f t="shared" si="0"/>
        <v>-1.298835221775E-2</v>
      </c>
      <c r="T22">
        <f t="shared" si="1"/>
        <v>-5.0834886249000004E-3</v>
      </c>
      <c r="U22">
        <f t="shared" si="3"/>
        <v>0.30315433846153844</v>
      </c>
    </row>
    <row r="23" spans="2:21" x14ac:dyDescent="0.3">
      <c r="B23">
        <v>7000</v>
      </c>
      <c r="C23">
        <v>1.4E-3</v>
      </c>
      <c r="D23">
        <v>-4.3020390999999998E-4</v>
      </c>
      <c r="E23">
        <v>0</v>
      </c>
      <c r="F23">
        <v>1.0753600999999999</v>
      </c>
      <c r="G23">
        <v>0.39703702000000002</v>
      </c>
      <c r="H23">
        <v>0.13518986</v>
      </c>
      <c r="I23">
        <v>9.5138375999999997E-2</v>
      </c>
      <c r="J23">
        <v>6.0445647999999998E-14</v>
      </c>
      <c r="K23">
        <v>-35889.271999999997</v>
      </c>
      <c r="L23">
        <v>1436.08</v>
      </c>
      <c r="M23">
        <v>-512.05183999999997</v>
      </c>
      <c r="N23">
        <v>75.543611999999996</v>
      </c>
      <c r="O23">
        <v>65.303113999999994</v>
      </c>
      <c r="P23">
        <v>0</v>
      </c>
      <c r="R23">
        <f t="shared" si="2"/>
        <v>0.36364804853999999</v>
      </c>
      <c r="S23">
        <f t="shared" si="0"/>
        <v>-1.4551080599999999E-2</v>
      </c>
      <c r="T23">
        <f t="shared" si="1"/>
        <v>5.1883652688E-3</v>
      </c>
      <c r="U23">
        <f t="shared" si="3"/>
        <v>0.30728850714285716</v>
      </c>
    </row>
    <row r="24" spans="2:21" x14ac:dyDescent="0.3">
      <c r="B24">
        <v>7500</v>
      </c>
      <c r="C24">
        <v>1.5E-3</v>
      </c>
      <c r="D24">
        <v>-4.4085726E-4</v>
      </c>
      <c r="E24">
        <v>0</v>
      </c>
      <c r="F24">
        <v>1.0027026000000001</v>
      </c>
      <c r="G24">
        <v>0.40239757999999998</v>
      </c>
      <c r="H24">
        <v>0.14898597</v>
      </c>
      <c r="I24">
        <v>9.7966645000000005E-2</v>
      </c>
      <c r="J24">
        <v>5.8315797000000004E-14</v>
      </c>
      <c r="K24">
        <v>-38436.101999999999</v>
      </c>
      <c r="L24">
        <v>825.76561000000004</v>
      </c>
      <c r="M24">
        <v>490.34104000000002</v>
      </c>
      <c r="N24">
        <v>75.551156000000006</v>
      </c>
      <c r="O24">
        <v>65.302418000000003</v>
      </c>
      <c r="P24">
        <v>0</v>
      </c>
      <c r="R24">
        <f t="shared" si="2"/>
        <v>0.38945380351499997</v>
      </c>
      <c r="S24">
        <f t="shared" si="0"/>
        <v>-8.3670700433250006E-3</v>
      </c>
      <c r="T24">
        <f t="shared" si="1"/>
        <v>-4.9683805878000002E-3</v>
      </c>
      <c r="U24">
        <f t="shared" si="3"/>
        <v>0.29390484</v>
      </c>
    </row>
    <row r="25" spans="2:21" x14ac:dyDescent="0.3">
      <c r="B25">
        <v>8000</v>
      </c>
      <c r="C25">
        <v>1.6000000000000001E-3</v>
      </c>
      <c r="D25">
        <v>-4.5327342999999998E-4</v>
      </c>
      <c r="E25">
        <v>0</v>
      </c>
      <c r="F25">
        <v>1.0070665999999999</v>
      </c>
      <c r="G25">
        <v>0.41375789000000002</v>
      </c>
      <c r="H25">
        <v>0.15380263999999999</v>
      </c>
      <c r="I25">
        <v>0.10383373999999999</v>
      </c>
      <c r="J25">
        <v>5.9638294000000003E-14</v>
      </c>
      <c r="K25">
        <v>-41024.959000000003</v>
      </c>
      <c r="L25">
        <v>306.50860999999998</v>
      </c>
      <c r="M25">
        <v>-486.88094999999998</v>
      </c>
      <c r="N25">
        <v>75.558700000000002</v>
      </c>
      <c r="O25">
        <v>65.301607000000004</v>
      </c>
      <c r="P25">
        <v>0</v>
      </c>
      <c r="R25">
        <f t="shared" si="2"/>
        <v>0.41568539706750002</v>
      </c>
      <c r="S25">
        <f t="shared" si="0"/>
        <v>-3.1056984908249996E-3</v>
      </c>
      <c r="T25">
        <f t="shared" si="1"/>
        <v>4.9333212258750002E-3</v>
      </c>
      <c r="U25">
        <f t="shared" si="3"/>
        <v>0.28329589374999997</v>
      </c>
    </row>
    <row r="26" spans="2:21" x14ac:dyDescent="0.3">
      <c r="B26">
        <v>8500</v>
      </c>
      <c r="C26">
        <v>1.6999999999999999E-3</v>
      </c>
      <c r="D26">
        <v>-4.6991540999999999E-4</v>
      </c>
      <c r="E26">
        <v>0</v>
      </c>
      <c r="F26">
        <v>0.94970381999999998</v>
      </c>
      <c r="G26">
        <v>0.42133859000000001</v>
      </c>
      <c r="H26">
        <v>0.16258545999999999</v>
      </c>
      <c r="I26">
        <v>0.11152434999999999</v>
      </c>
      <c r="J26">
        <v>6.0782490000000001E-14</v>
      </c>
      <c r="K26">
        <v>-43662.654999999999</v>
      </c>
      <c r="L26">
        <v>-13.471596999999999</v>
      </c>
      <c r="M26">
        <v>470.53255999999999</v>
      </c>
      <c r="N26">
        <v>75.566243</v>
      </c>
      <c r="O26">
        <v>65.300520000000006</v>
      </c>
      <c r="P26">
        <v>0</v>
      </c>
      <c r="R26">
        <f t="shared" si="2"/>
        <v>0.44241185178749998</v>
      </c>
      <c r="S26">
        <f t="shared" si="0"/>
        <v>1.365009566025E-4</v>
      </c>
      <c r="T26">
        <f t="shared" si="1"/>
        <v>-4.7676711642000002E-3</v>
      </c>
      <c r="U26">
        <f t="shared" si="3"/>
        <v>0.27642082941176471</v>
      </c>
    </row>
    <row r="27" spans="2:21" x14ac:dyDescent="0.3">
      <c r="B27">
        <v>9000</v>
      </c>
      <c r="C27">
        <v>1.8E-3</v>
      </c>
      <c r="D27">
        <v>-4.8597141000000001E-4</v>
      </c>
      <c r="E27">
        <v>0</v>
      </c>
      <c r="F27">
        <v>1.0214057000000001</v>
      </c>
      <c r="G27">
        <v>0.43897185999999999</v>
      </c>
      <c r="H27">
        <v>0.16733276</v>
      </c>
      <c r="I27">
        <v>0.11329466000000001</v>
      </c>
      <c r="J27">
        <v>5.7593486000000001E-14</v>
      </c>
      <c r="K27">
        <v>-46350.303999999996</v>
      </c>
      <c r="L27">
        <v>-290.60498000000001</v>
      </c>
      <c r="M27">
        <v>-474.29685000000001</v>
      </c>
      <c r="N27">
        <v>75.573786999999996</v>
      </c>
      <c r="O27">
        <v>65.299470999999997</v>
      </c>
      <c r="P27">
        <v>0</v>
      </c>
      <c r="R27">
        <f t="shared" si="2"/>
        <v>0.46964445527999998</v>
      </c>
      <c r="S27">
        <f t="shared" si="0"/>
        <v>2.9445549598500001E-3</v>
      </c>
      <c r="T27">
        <f t="shared" si="1"/>
        <v>4.8058128326249998E-3</v>
      </c>
      <c r="U27">
        <f t="shared" si="3"/>
        <v>0.26998411666666666</v>
      </c>
    </row>
    <row r="28" spans="2:21" x14ac:dyDescent="0.3">
      <c r="B28">
        <v>9500</v>
      </c>
      <c r="C28">
        <v>1.9E-3</v>
      </c>
      <c r="D28">
        <v>-5.0370207999999997E-4</v>
      </c>
      <c r="E28">
        <v>0</v>
      </c>
      <c r="F28">
        <v>1.0034502000000001</v>
      </c>
      <c r="G28">
        <v>0.45726570999999999</v>
      </c>
      <c r="H28">
        <v>0.17969151</v>
      </c>
      <c r="I28">
        <v>0.12201333</v>
      </c>
      <c r="J28">
        <v>6.0598415000000003E-14</v>
      </c>
      <c r="K28">
        <v>-49052.843999999997</v>
      </c>
      <c r="L28">
        <v>-494.95575000000002</v>
      </c>
      <c r="M28">
        <v>452.59087</v>
      </c>
      <c r="N28">
        <v>75.581331000000006</v>
      </c>
      <c r="O28">
        <v>65.298312999999993</v>
      </c>
      <c r="P28">
        <v>0</v>
      </c>
      <c r="R28">
        <f t="shared" si="2"/>
        <v>0.49702794182999999</v>
      </c>
      <c r="S28">
        <f t="shared" si="0"/>
        <v>5.0151391368750001E-3</v>
      </c>
      <c r="T28">
        <f t="shared" si="1"/>
        <v>-4.585876990275E-3</v>
      </c>
      <c r="U28">
        <f t="shared" si="3"/>
        <v>0.26510635789473685</v>
      </c>
    </row>
    <row r="29" spans="2:21" x14ac:dyDescent="0.3">
      <c r="B29">
        <v>10000</v>
      </c>
      <c r="C29">
        <v>2E-3</v>
      </c>
      <c r="D29">
        <v>-5.2567491E-4</v>
      </c>
      <c r="E29">
        <v>0</v>
      </c>
      <c r="F29">
        <v>0.96781514999999996</v>
      </c>
      <c r="G29">
        <v>0.48059149000000001</v>
      </c>
      <c r="H29">
        <v>0.20015383</v>
      </c>
      <c r="I29">
        <v>0.13040114999999999</v>
      </c>
      <c r="J29">
        <v>5.9948269000000002E-14</v>
      </c>
      <c r="K29">
        <v>-51737.637999999999</v>
      </c>
      <c r="L29">
        <v>-550.41755999999998</v>
      </c>
      <c r="M29">
        <v>-449.54547000000002</v>
      </c>
      <c r="N29">
        <v>75.588875000000002</v>
      </c>
      <c r="O29">
        <v>65.296876999999995</v>
      </c>
      <c r="P29">
        <v>0</v>
      </c>
      <c r="R29">
        <f t="shared" si="2"/>
        <v>0.52423161703499999</v>
      </c>
      <c r="S29">
        <f t="shared" si="0"/>
        <v>5.5771059266999995E-3</v>
      </c>
      <c r="T29">
        <f t="shared" si="1"/>
        <v>4.5550194747750001E-3</v>
      </c>
      <c r="U29">
        <f t="shared" si="3"/>
        <v>0.262837455</v>
      </c>
    </row>
    <row r="30" spans="2:21" x14ac:dyDescent="0.3">
      <c r="B30">
        <v>10500</v>
      </c>
      <c r="C30">
        <v>2.0999999999999999E-3</v>
      </c>
      <c r="D30">
        <v>-5.5998606999999999E-4</v>
      </c>
      <c r="E30">
        <v>0</v>
      </c>
      <c r="F30">
        <v>0.95670122999999996</v>
      </c>
      <c r="G30">
        <v>0.48450950999999998</v>
      </c>
      <c r="H30">
        <v>0.19952864000000001</v>
      </c>
      <c r="I30">
        <v>0.13666729999999999</v>
      </c>
      <c r="J30">
        <v>5.8357319E-14</v>
      </c>
      <c r="K30">
        <v>-54327.016000000003</v>
      </c>
      <c r="L30">
        <v>-301.18315999999999</v>
      </c>
      <c r="M30">
        <v>437.82785000000001</v>
      </c>
      <c r="N30">
        <v>75.596418999999997</v>
      </c>
      <c r="O30">
        <v>65.294635999999997</v>
      </c>
      <c r="P30">
        <v>0</v>
      </c>
      <c r="R30">
        <f t="shared" si="2"/>
        <v>0.55046848962000006</v>
      </c>
      <c r="S30">
        <f t="shared" si="0"/>
        <v>3.0517383686999998E-3</v>
      </c>
      <c r="T30">
        <f t="shared" si="1"/>
        <v>-4.4362906901250004E-3</v>
      </c>
      <c r="U30">
        <f t="shared" si="3"/>
        <v>0.26666003333333332</v>
      </c>
    </row>
    <row r="31" spans="2:21" x14ac:dyDescent="0.3">
      <c r="B31">
        <v>11000</v>
      </c>
      <c r="C31">
        <v>2.2000000000000001E-3</v>
      </c>
      <c r="D31">
        <v>-6.1046566999999996E-4</v>
      </c>
      <c r="E31">
        <v>0</v>
      </c>
      <c r="F31">
        <v>1.0105864</v>
      </c>
      <c r="G31">
        <v>0.49873706000000001</v>
      </c>
      <c r="H31">
        <v>0.20463881</v>
      </c>
      <c r="I31">
        <v>0.13743108000000001</v>
      </c>
      <c r="J31">
        <v>5.8657522999999997E-14</v>
      </c>
      <c r="K31">
        <v>-56765.110999999997</v>
      </c>
      <c r="L31">
        <v>396.50180999999998</v>
      </c>
      <c r="M31">
        <v>-436.88914</v>
      </c>
      <c r="N31">
        <v>75.603961999999996</v>
      </c>
      <c r="O31">
        <v>65.291337999999996</v>
      </c>
      <c r="P31">
        <v>0</v>
      </c>
      <c r="R31">
        <f t="shared" si="2"/>
        <v>0.57517248720749992</v>
      </c>
      <c r="S31">
        <f t="shared" si="0"/>
        <v>-4.017554589825E-3</v>
      </c>
      <c r="T31">
        <f t="shared" si="1"/>
        <v>4.42677921105E-3</v>
      </c>
      <c r="U31">
        <f t="shared" si="3"/>
        <v>0.2774843954545454</v>
      </c>
    </row>
    <row r="32" spans="2:21" x14ac:dyDescent="0.3">
      <c r="B32">
        <v>11500</v>
      </c>
      <c r="C32">
        <v>2.3E-3</v>
      </c>
      <c r="D32">
        <v>-6.6872613000000004E-4</v>
      </c>
      <c r="E32">
        <v>0</v>
      </c>
      <c r="F32">
        <v>0.93506403999999999</v>
      </c>
      <c r="G32">
        <v>0.51346314999999998</v>
      </c>
      <c r="H32">
        <v>0.21847021</v>
      </c>
      <c r="I32">
        <v>0.15003369</v>
      </c>
      <c r="J32">
        <v>5.8441695999999999E-14</v>
      </c>
      <c r="K32">
        <v>-59124.252</v>
      </c>
      <c r="L32">
        <v>1282.8073999999999</v>
      </c>
      <c r="M32">
        <v>451.17074000000002</v>
      </c>
      <c r="N32">
        <v>75.611506000000006</v>
      </c>
      <c r="O32">
        <v>65.287531000000001</v>
      </c>
      <c r="P32">
        <v>0</v>
      </c>
      <c r="R32">
        <f t="shared" si="2"/>
        <v>0.59907648338999997</v>
      </c>
      <c r="S32">
        <f t="shared" si="0"/>
        <v>-1.2998045980499999E-2</v>
      </c>
      <c r="T32">
        <f t="shared" si="1"/>
        <v>-4.57148752305E-3</v>
      </c>
      <c r="U32">
        <f t="shared" si="3"/>
        <v>0.29075049130434782</v>
      </c>
    </row>
    <row r="33" spans="2:21" x14ac:dyDescent="0.3">
      <c r="B33">
        <v>12000</v>
      </c>
      <c r="C33">
        <v>2.3999999999999998E-3</v>
      </c>
      <c r="D33">
        <v>-7.0729066000000003E-4</v>
      </c>
      <c r="E33">
        <v>0</v>
      </c>
      <c r="F33">
        <v>0.99656893999999996</v>
      </c>
      <c r="G33">
        <v>0.53802147</v>
      </c>
      <c r="H33">
        <v>0.22005727999999999</v>
      </c>
      <c r="I33">
        <v>0.16347009000000001</v>
      </c>
      <c r="J33">
        <v>5.9765748000000002E-14</v>
      </c>
      <c r="K33">
        <v>-61571.608</v>
      </c>
      <c r="L33">
        <v>1546.5574999999999</v>
      </c>
      <c r="M33">
        <v>-470.43099999999998</v>
      </c>
      <c r="N33">
        <v>75.619050000000001</v>
      </c>
      <c r="O33">
        <v>65.285011999999995</v>
      </c>
      <c r="P33">
        <v>0</v>
      </c>
      <c r="R33">
        <f t="shared" si="2"/>
        <v>0.62387431806000004</v>
      </c>
      <c r="S33">
        <f t="shared" si="0"/>
        <v>-1.567049386875E-2</v>
      </c>
      <c r="T33">
        <f t="shared" si="1"/>
        <v>4.7666421075E-3</v>
      </c>
      <c r="U33">
        <f t="shared" si="3"/>
        <v>0.29470444166666671</v>
      </c>
    </row>
    <row r="34" spans="2:21" x14ac:dyDescent="0.3">
      <c r="B34">
        <v>12500</v>
      </c>
      <c r="C34">
        <v>2.5000000000000001E-3</v>
      </c>
      <c r="D34">
        <v>-7.1278970000000004E-4</v>
      </c>
      <c r="E34">
        <v>0</v>
      </c>
      <c r="F34">
        <v>1.0116717</v>
      </c>
      <c r="G34">
        <v>0.56282620999999999</v>
      </c>
      <c r="H34">
        <v>0.23442286000000001</v>
      </c>
      <c r="I34">
        <v>0.17156793000000001</v>
      </c>
      <c r="J34">
        <v>5.9370953000000002E-14</v>
      </c>
      <c r="K34">
        <v>-64152.027999999998</v>
      </c>
      <c r="L34">
        <v>797.54366000000005</v>
      </c>
      <c r="M34">
        <v>476.57274999999998</v>
      </c>
      <c r="N34">
        <v>75.626593999999997</v>
      </c>
      <c r="O34">
        <v>65.284653000000006</v>
      </c>
      <c r="P34">
        <v>0</v>
      </c>
      <c r="R34">
        <f t="shared" si="2"/>
        <v>0.65002042371000002</v>
      </c>
      <c r="S34">
        <f t="shared" si="0"/>
        <v>-8.081111134950001E-3</v>
      </c>
      <c r="T34">
        <f t="shared" si="1"/>
        <v>-4.8288733893750001E-3</v>
      </c>
      <c r="U34">
        <f t="shared" si="3"/>
        <v>0.28511587999999999</v>
      </c>
    </row>
    <row r="35" spans="2:21" x14ac:dyDescent="0.3">
      <c r="B35">
        <v>13000</v>
      </c>
      <c r="C35">
        <v>2.5999999999999999E-3</v>
      </c>
      <c r="D35">
        <v>-7.0032337999999998E-4</v>
      </c>
      <c r="E35">
        <v>0</v>
      </c>
      <c r="F35">
        <v>0.97567934000000001</v>
      </c>
      <c r="G35">
        <v>0.57860447999999998</v>
      </c>
      <c r="H35">
        <v>0.24834582999999999</v>
      </c>
      <c r="I35">
        <v>0.17900298000000001</v>
      </c>
      <c r="J35">
        <v>6.0095040000000001E-14</v>
      </c>
      <c r="K35">
        <v>-66855.176000000007</v>
      </c>
      <c r="L35">
        <v>-471.75871000000001</v>
      </c>
      <c r="M35">
        <v>-490.91370999999998</v>
      </c>
      <c r="N35">
        <v>75.634137999999993</v>
      </c>
      <c r="O35">
        <v>65.285466999999997</v>
      </c>
      <c r="P35">
        <v>0</v>
      </c>
      <c r="R35">
        <f t="shared" si="2"/>
        <v>0.67741007082000004</v>
      </c>
      <c r="S35">
        <f t="shared" si="0"/>
        <v>4.7800951290749997E-3</v>
      </c>
      <c r="T35">
        <f t="shared" si="1"/>
        <v>4.9741831665749995E-3</v>
      </c>
      <c r="U35">
        <f t="shared" si="3"/>
        <v>0.26935514615384615</v>
      </c>
    </row>
    <row r="36" spans="2:21" x14ac:dyDescent="0.3">
      <c r="B36">
        <v>13500</v>
      </c>
      <c r="C36">
        <v>2.7000000000000001E-3</v>
      </c>
      <c r="D36">
        <v>-6.9929316000000004E-4</v>
      </c>
      <c r="E36">
        <v>0</v>
      </c>
      <c r="F36">
        <v>0.98888083000000004</v>
      </c>
      <c r="G36">
        <v>0.59887159000000001</v>
      </c>
      <c r="H36">
        <v>0.25986440999999999</v>
      </c>
      <c r="I36">
        <v>0.18570492999999999</v>
      </c>
      <c r="J36">
        <v>5.8866244999999994E-14</v>
      </c>
      <c r="K36">
        <v>-69521.150999999998</v>
      </c>
      <c r="L36">
        <v>-1369.9831999999999</v>
      </c>
      <c r="M36">
        <v>507.27676000000002</v>
      </c>
      <c r="N36">
        <v>75.641681000000005</v>
      </c>
      <c r="O36">
        <v>65.285533999999998</v>
      </c>
      <c r="P36">
        <v>0</v>
      </c>
      <c r="R36">
        <f t="shared" si="2"/>
        <v>0.70442306250749998</v>
      </c>
      <c r="S36">
        <f t="shared" si="0"/>
        <v>1.3881354774E-2</v>
      </c>
      <c r="T36">
        <f t="shared" si="1"/>
        <v>-5.1399817707000004E-3</v>
      </c>
      <c r="U36">
        <f t="shared" si="3"/>
        <v>0.25899746666666668</v>
      </c>
    </row>
    <row r="37" spans="2:21" x14ac:dyDescent="0.3">
      <c r="B37">
        <v>14000</v>
      </c>
      <c r="C37">
        <v>2.8E-3</v>
      </c>
      <c r="D37">
        <v>-7.2803634999999995E-4</v>
      </c>
      <c r="E37">
        <v>0</v>
      </c>
      <c r="F37">
        <v>0.97324348000000005</v>
      </c>
      <c r="G37">
        <v>0.62010076000000003</v>
      </c>
      <c r="H37">
        <v>0.27272055000000001</v>
      </c>
      <c r="I37">
        <v>0.19650217</v>
      </c>
      <c r="J37">
        <v>6.0607074999999996E-14</v>
      </c>
      <c r="K37">
        <v>-72085.706999999995</v>
      </c>
      <c r="L37">
        <v>-1317.5298</v>
      </c>
      <c r="M37">
        <v>-502.66534999999999</v>
      </c>
      <c r="N37">
        <v>75.649225000000001</v>
      </c>
      <c r="O37">
        <v>65.283657000000005</v>
      </c>
      <c r="P37">
        <v>0</v>
      </c>
      <c r="R37">
        <f t="shared" si="2"/>
        <v>0.7304084261774999</v>
      </c>
      <c r="S37">
        <f t="shared" si="0"/>
        <v>1.3349870698500001E-2</v>
      </c>
      <c r="T37">
        <f t="shared" si="1"/>
        <v>5.0932566588749997E-3</v>
      </c>
      <c r="U37">
        <f t="shared" si="3"/>
        <v>0.26001298214285712</v>
      </c>
    </row>
    <row r="38" spans="2:21" x14ac:dyDescent="0.3">
      <c r="B38">
        <v>14500</v>
      </c>
      <c r="C38">
        <v>2.8999999999999998E-3</v>
      </c>
      <c r="D38">
        <v>-7.8298767999999996E-4</v>
      </c>
      <c r="E38">
        <v>0</v>
      </c>
      <c r="F38">
        <v>0.97632160000000001</v>
      </c>
      <c r="G38">
        <v>0.64722908000000001</v>
      </c>
      <c r="H38">
        <v>0.28364441000000001</v>
      </c>
      <c r="I38">
        <v>0.21222943</v>
      </c>
      <c r="J38">
        <v>5.8978600000000004E-14</v>
      </c>
      <c r="K38">
        <v>-74552.573000000004</v>
      </c>
      <c r="L38">
        <v>-441.24889000000002</v>
      </c>
      <c r="M38">
        <v>478.90127999999999</v>
      </c>
      <c r="N38">
        <v>75.656768999999997</v>
      </c>
      <c r="O38">
        <v>65.280067000000003</v>
      </c>
      <c r="P38">
        <v>0</v>
      </c>
      <c r="R38">
        <f t="shared" si="2"/>
        <v>0.75540394592250004</v>
      </c>
      <c r="S38">
        <f t="shared" si="0"/>
        <v>4.4709543779250004E-3</v>
      </c>
      <c r="T38">
        <f t="shared" si="1"/>
        <v>-4.8524672195999997E-3</v>
      </c>
      <c r="U38">
        <f t="shared" si="3"/>
        <v>0.26999575172413792</v>
      </c>
    </row>
    <row r="39" spans="2:21" x14ac:dyDescent="0.3">
      <c r="B39">
        <v>15000</v>
      </c>
      <c r="C39">
        <v>3.0000000000000001E-3</v>
      </c>
      <c r="D39">
        <v>-8.3754849000000002E-4</v>
      </c>
      <c r="E39">
        <v>0</v>
      </c>
      <c r="F39">
        <v>0.99830260000000004</v>
      </c>
      <c r="G39">
        <v>0.67494096999999997</v>
      </c>
      <c r="H39">
        <v>0.30033204000000002</v>
      </c>
      <c r="I39">
        <v>0.21984608</v>
      </c>
      <c r="J39">
        <v>5.8853589E-14</v>
      </c>
      <c r="K39">
        <v>-77049.288</v>
      </c>
      <c r="L39">
        <v>475.19646999999998</v>
      </c>
      <c r="M39">
        <v>-433.44675999999998</v>
      </c>
      <c r="N39">
        <v>75.664313000000007</v>
      </c>
      <c r="O39">
        <v>65.276501999999994</v>
      </c>
      <c r="P39">
        <v>0</v>
      </c>
      <c r="R39">
        <f t="shared" si="2"/>
        <v>0.78070191066000005</v>
      </c>
      <c r="S39">
        <f t="shared" si="0"/>
        <v>-4.814928232275E-3</v>
      </c>
      <c r="T39">
        <f t="shared" si="1"/>
        <v>4.3918992956999995E-3</v>
      </c>
      <c r="U39">
        <f t="shared" si="3"/>
        <v>0.27918282999999999</v>
      </c>
    </row>
    <row r="40" spans="2:21" x14ac:dyDescent="0.3">
      <c r="B40">
        <v>15500</v>
      </c>
      <c r="C40">
        <v>3.0999999999999999E-3</v>
      </c>
      <c r="D40">
        <v>-8.6793464000000005E-4</v>
      </c>
      <c r="E40">
        <v>0</v>
      </c>
      <c r="F40">
        <v>1.0189265999999999</v>
      </c>
      <c r="G40">
        <v>0.69657506000000002</v>
      </c>
      <c r="H40">
        <v>0.30916504</v>
      </c>
      <c r="I40">
        <v>0.22944990000000001</v>
      </c>
      <c r="J40">
        <v>5.9041659999999998E-14</v>
      </c>
      <c r="K40">
        <v>-79650.827000000005</v>
      </c>
      <c r="L40">
        <v>619.74920999999995</v>
      </c>
      <c r="M40">
        <v>371.11871000000002</v>
      </c>
      <c r="N40">
        <v>75.671857000000003</v>
      </c>
      <c r="O40">
        <v>65.274517000000003</v>
      </c>
      <c r="P40">
        <v>0</v>
      </c>
      <c r="R40">
        <f t="shared" si="2"/>
        <v>0.80706200457749999</v>
      </c>
      <c r="S40">
        <f t="shared" si="0"/>
        <v>-6.2796088703249995E-3</v>
      </c>
      <c r="T40">
        <f t="shared" si="1"/>
        <v>-3.7603603290750002E-3</v>
      </c>
      <c r="U40">
        <f t="shared" si="3"/>
        <v>0.27997891612903231</v>
      </c>
    </row>
    <row r="41" spans="2:21" x14ac:dyDescent="0.3">
      <c r="B41">
        <v>16000</v>
      </c>
      <c r="C41">
        <v>3.2000000000000002E-3</v>
      </c>
      <c r="D41">
        <v>-8.8316025E-4</v>
      </c>
      <c r="E41">
        <v>0</v>
      </c>
      <c r="F41">
        <v>0.98624909999999999</v>
      </c>
      <c r="G41">
        <v>0.71365654999999995</v>
      </c>
      <c r="H41">
        <v>0.32090943999999999</v>
      </c>
      <c r="I41">
        <v>0.23985286</v>
      </c>
      <c r="J41">
        <v>6.0494054000000005E-14</v>
      </c>
      <c r="K41">
        <v>-82332.539000000004</v>
      </c>
      <c r="L41">
        <v>308.17606000000001</v>
      </c>
      <c r="M41">
        <v>-267.29300999999998</v>
      </c>
      <c r="N41">
        <v>75.679400000000001</v>
      </c>
      <c r="O41">
        <v>65.273522</v>
      </c>
      <c r="P41">
        <v>0</v>
      </c>
      <c r="R41">
        <f t="shared" si="2"/>
        <v>0.83423445141750008</v>
      </c>
      <c r="S41">
        <f t="shared" si="0"/>
        <v>-3.1225939279500002E-3</v>
      </c>
      <c r="T41">
        <f t="shared" si="1"/>
        <v>2.7083464238249998E-3</v>
      </c>
      <c r="U41">
        <f t="shared" si="3"/>
        <v>0.27598757812499997</v>
      </c>
    </row>
    <row r="42" spans="2:21" x14ac:dyDescent="0.3">
      <c r="B42">
        <v>16500</v>
      </c>
      <c r="C42">
        <v>3.3E-3</v>
      </c>
      <c r="D42">
        <v>-8.9811201999999998E-4</v>
      </c>
      <c r="E42">
        <v>0</v>
      </c>
      <c r="F42">
        <v>0.99039325</v>
      </c>
      <c r="G42">
        <v>0.74187367000000004</v>
      </c>
      <c r="H42">
        <v>0.34100501</v>
      </c>
      <c r="I42">
        <v>0.24733194999999999</v>
      </c>
      <c r="J42">
        <v>5.7895910000000002E-14</v>
      </c>
      <c r="K42">
        <v>-84981.827000000005</v>
      </c>
      <c r="L42">
        <v>-21.823584</v>
      </c>
      <c r="M42">
        <v>145.52268000000001</v>
      </c>
      <c r="N42">
        <v>75.686943999999997</v>
      </c>
      <c r="O42">
        <v>65.272544999999994</v>
      </c>
      <c r="P42">
        <v>0</v>
      </c>
      <c r="R42">
        <f t="shared" si="2"/>
        <v>0.86107836207749999</v>
      </c>
      <c r="S42">
        <f t="shared" si="0"/>
        <v>2.2112746488E-4</v>
      </c>
      <c r="T42">
        <f t="shared" si="1"/>
        <v>-1.4745085551000001E-3</v>
      </c>
      <c r="U42">
        <f t="shared" si="3"/>
        <v>0.27215515757575759</v>
      </c>
    </row>
    <row r="43" spans="2:21" x14ac:dyDescent="0.3">
      <c r="B43">
        <v>17000</v>
      </c>
      <c r="C43">
        <v>3.3999999999999998E-3</v>
      </c>
      <c r="D43">
        <v>-9.1575548999999997E-4</v>
      </c>
      <c r="E43">
        <v>0</v>
      </c>
      <c r="F43">
        <v>1.0328771000000001</v>
      </c>
      <c r="G43">
        <v>0.78191111999999996</v>
      </c>
      <c r="H43">
        <v>0.35761356999999999</v>
      </c>
      <c r="I43">
        <v>0.26417476000000001</v>
      </c>
      <c r="J43">
        <v>5.9563686999999999E-14</v>
      </c>
      <c r="K43">
        <v>-87617.673999999999</v>
      </c>
      <c r="L43">
        <v>-280.64389</v>
      </c>
      <c r="M43">
        <v>20.465391</v>
      </c>
      <c r="N43">
        <v>75.694488000000007</v>
      </c>
      <c r="O43">
        <v>65.271393000000003</v>
      </c>
      <c r="P43">
        <v>0</v>
      </c>
      <c r="R43">
        <f t="shared" si="2"/>
        <v>0.88778608180499996</v>
      </c>
      <c r="S43">
        <f t="shared" si="0"/>
        <v>2.8436242154249998E-3</v>
      </c>
      <c r="T43">
        <f t="shared" si="1"/>
        <v>-2.0736557430750001E-4</v>
      </c>
      <c r="U43">
        <f t="shared" si="3"/>
        <v>0.26933984999999999</v>
      </c>
    </row>
    <row r="44" spans="2:21" x14ac:dyDescent="0.3">
      <c r="B44">
        <v>17500</v>
      </c>
      <c r="C44">
        <v>3.5000000000000001E-3</v>
      </c>
      <c r="D44">
        <v>-9.3978496E-4</v>
      </c>
      <c r="E44">
        <v>0</v>
      </c>
      <c r="F44">
        <v>0.96928694000000004</v>
      </c>
      <c r="G44">
        <v>0.80264767000000004</v>
      </c>
      <c r="H44">
        <v>0.37457190000000001</v>
      </c>
      <c r="I44">
        <v>0.27781108999999998</v>
      </c>
      <c r="J44">
        <v>5.9543703E-14</v>
      </c>
      <c r="K44">
        <v>-90214.839000000007</v>
      </c>
      <c r="L44">
        <v>-360.11394999999999</v>
      </c>
      <c r="M44">
        <v>-184.11761000000001</v>
      </c>
      <c r="N44">
        <v>75.702032000000003</v>
      </c>
      <c r="O44">
        <v>65.269823000000002</v>
      </c>
      <c r="P44">
        <v>0</v>
      </c>
      <c r="R44">
        <f t="shared" si="2"/>
        <v>0.91410185616750006</v>
      </c>
      <c r="S44">
        <f t="shared" si="0"/>
        <v>3.6488545983749997E-3</v>
      </c>
      <c r="T44">
        <f t="shared" si="1"/>
        <v>1.8655716833250002E-3</v>
      </c>
      <c r="U44">
        <f t="shared" si="3"/>
        <v>0.26850998857142855</v>
      </c>
    </row>
    <row r="45" spans="2:21" x14ac:dyDescent="0.3">
      <c r="B45">
        <v>18000</v>
      </c>
      <c r="C45">
        <v>3.5999999999999999E-3</v>
      </c>
      <c r="D45">
        <v>-9.7281888000000003E-4</v>
      </c>
      <c r="E45">
        <v>0</v>
      </c>
      <c r="F45">
        <v>1.009941</v>
      </c>
      <c r="G45">
        <v>0.82599423000000005</v>
      </c>
      <c r="H45">
        <v>0.38361683000000002</v>
      </c>
      <c r="I45">
        <v>0.28581029000000002</v>
      </c>
      <c r="J45">
        <v>5.9458215999999999E-14</v>
      </c>
      <c r="K45">
        <v>-92756.285000000003</v>
      </c>
      <c r="L45">
        <v>-175.19028</v>
      </c>
      <c r="M45">
        <v>331.37419</v>
      </c>
      <c r="N45">
        <v>75.709575999999998</v>
      </c>
      <c r="O45">
        <v>65.267664999999994</v>
      </c>
      <c r="P45">
        <v>0</v>
      </c>
      <c r="R45">
        <f t="shared" si="2"/>
        <v>0.93985305776250005</v>
      </c>
      <c r="S45">
        <f t="shared" si="0"/>
        <v>1.7751155121000001E-3</v>
      </c>
      <c r="T45">
        <f t="shared" si="1"/>
        <v>-3.3576489801750002E-3</v>
      </c>
      <c r="U45">
        <f t="shared" si="3"/>
        <v>0.27022746666666669</v>
      </c>
    </row>
    <row r="46" spans="2:21" x14ac:dyDescent="0.3">
      <c r="B46">
        <v>18500</v>
      </c>
      <c r="C46">
        <v>3.7000000000000002E-3</v>
      </c>
      <c r="D46">
        <v>-1.0160678999999999E-3</v>
      </c>
      <c r="E46">
        <v>0</v>
      </c>
      <c r="F46">
        <v>0.97730998999999996</v>
      </c>
      <c r="G46">
        <v>0.85080838999999997</v>
      </c>
      <c r="H46">
        <v>0.39822043000000001</v>
      </c>
      <c r="I46">
        <v>0.3010795</v>
      </c>
      <c r="J46">
        <v>5.8883787000000004E-14</v>
      </c>
      <c r="K46">
        <v>-95246.792000000001</v>
      </c>
      <c r="L46">
        <v>318.92558000000002</v>
      </c>
      <c r="M46">
        <v>-441.28586999999999</v>
      </c>
      <c r="N46">
        <v>75.717118999999997</v>
      </c>
      <c r="O46">
        <v>65.264838999999995</v>
      </c>
      <c r="P46">
        <v>0</v>
      </c>
      <c r="R46">
        <f t="shared" si="2"/>
        <v>0.96508811993999999</v>
      </c>
      <c r="S46">
        <f t="shared" si="0"/>
        <v>-3.2315134393500001E-3</v>
      </c>
      <c r="T46">
        <f t="shared" si="1"/>
        <v>4.4713290777749996E-3</v>
      </c>
      <c r="U46">
        <f t="shared" si="3"/>
        <v>0.27461294594594593</v>
      </c>
    </row>
    <row r="47" spans="2:21" x14ac:dyDescent="0.3">
      <c r="B47">
        <v>19000</v>
      </c>
      <c r="C47">
        <v>3.8E-3</v>
      </c>
      <c r="D47">
        <v>-1.0640229000000001E-3</v>
      </c>
      <c r="E47">
        <v>0</v>
      </c>
      <c r="F47">
        <v>1.0260199000000001</v>
      </c>
      <c r="G47">
        <v>0.87879879999999999</v>
      </c>
      <c r="H47">
        <v>0.40952824999999998</v>
      </c>
      <c r="I47">
        <v>0.31021079000000001</v>
      </c>
      <c r="J47">
        <v>6.0426330999999999E-14</v>
      </c>
      <c r="K47">
        <v>-97711.611999999994</v>
      </c>
      <c r="L47">
        <v>961.87093000000004</v>
      </c>
      <c r="M47">
        <v>503.61182000000002</v>
      </c>
      <c r="N47">
        <v>75.724663000000007</v>
      </c>
      <c r="O47">
        <v>65.261706000000004</v>
      </c>
      <c r="P47">
        <v>0</v>
      </c>
      <c r="R47">
        <f t="shared" si="2"/>
        <v>0.9900629085899999</v>
      </c>
      <c r="S47">
        <f t="shared" si="0"/>
        <v>-9.7461571982250007E-3</v>
      </c>
      <c r="T47">
        <f t="shared" si="1"/>
        <v>-5.1028467661500005E-3</v>
      </c>
      <c r="U47">
        <f t="shared" si="3"/>
        <v>0.28000602631578947</v>
      </c>
    </row>
    <row r="48" spans="2:21" x14ac:dyDescent="0.3">
      <c r="B48">
        <v>19500</v>
      </c>
      <c r="C48">
        <v>3.8999999999999998E-3</v>
      </c>
      <c r="D48">
        <v>-1.0793158E-3</v>
      </c>
      <c r="E48">
        <v>0</v>
      </c>
      <c r="F48">
        <v>1.020024</v>
      </c>
      <c r="G48">
        <v>0.91274270000000002</v>
      </c>
      <c r="H48">
        <v>0.42997533999999998</v>
      </c>
      <c r="I48">
        <v>0.32463711000000001</v>
      </c>
      <c r="J48">
        <v>5.8100190999999997E-14</v>
      </c>
      <c r="K48">
        <v>-100325.24</v>
      </c>
      <c r="L48">
        <v>603.77966000000004</v>
      </c>
      <c r="M48">
        <v>-460.53228000000001</v>
      </c>
      <c r="N48">
        <v>75.732207000000002</v>
      </c>
      <c r="O48">
        <v>65.260706999999996</v>
      </c>
      <c r="P48">
        <v>0</v>
      </c>
      <c r="R48">
        <f t="shared" si="2"/>
        <v>1.0165454943000001</v>
      </c>
      <c r="S48">
        <f t="shared" si="0"/>
        <v>-6.1177974049500001E-3</v>
      </c>
      <c r="T48">
        <f t="shared" si="1"/>
        <v>4.6663433270999997E-3</v>
      </c>
      <c r="U48">
        <f t="shared" si="3"/>
        <v>0.27674764102564103</v>
      </c>
    </row>
    <row r="49" spans="2:21" x14ac:dyDescent="0.3">
      <c r="B49">
        <v>20000</v>
      </c>
      <c r="C49">
        <v>4.0000000000000001E-3</v>
      </c>
      <c r="D49">
        <v>-1.0655051E-3</v>
      </c>
      <c r="E49">
        <v>0</v>
      </c>
      <c r="F49">
        <v>0.96038851999999997</v>
      </c>
      <c r="G49">
        <v>0.94760376999999996</v>
      </c>
      <c r="H49">
        <v>0.45665402999999999</v>
      </c>
      <c r="I49">
        <v>0.34206453999999997</v>
      </c>
      <c r="J49">
        <v>5.9208416000000002E-14</v>
      </c>
      <c r="K49">
        <v>-103045.37</v>
      </c>
      <c r="L49">
        <v>-674.45844</v>
      </c>
      <c r="M49">
        <v>351.54261000000002</v>
      </c>
      <c r="N49">
        <v>75.739750999999998</v>
      </c>
      <c r="O49">
        <v>65.261609000000007</v>
      </c>
      <c r="P49">
        <v>0</v>
      </c>
      <c r="R49">
        <f t="shared" si="2"/>
        <v>1.0441072115249999</v>
      </c>
      <c r="S49">
        <f t="shared" si="0"/>
        <v>6.8339501432999996E-3</v>
      </c>
      <c r="T49">
        <f t="shared" si="1"/>
        <v>-3.5620054958250004E-3</v>
      </c>
      <c r="U49">
        <f t="shared" si="3"/>
        <v>0.266376275</v>
      </c>
    </row>
    <row r="50" spans="2:21" x14ac:dyDescent="0.3">
      <c r="B50">
        <v>20500</v>
      </c>
      <c r="C50">
        <v>4.1000000000000003E-3</v>
      </c>
      <c r="D50">
        <v>-1.0658570999999999E-3</v>
      </c>
      <c r="E50">
        <v>0</v>
      </c>
      <c r="F50">
        <v>0.99519374999999999</v>
      </c>
      <c r="G50">
        <v>0.97951873</v>
      </c>
      <c r="H50">
        <v>0.47251882000000001</v>
      </c>
      <c r="I50">
        <v>0.352719</v>
      </c>
      <c r="J50">
        <v>5.976597E-14</v>
      </c>
      <c r="K50">
        <v>-105705.24</v>
      </c>
      <c r="L50">
        <v>-1515.0645999999999</v>
      </c>
      <c r="M50">
        <v>-141.97823</v>
      </c>
      <c r="N50">
        <v>75.747294999999994</v>
      </c>
      <c r="O50">
        <v>65.261585999999994</v>
      </c>
      <c r="P50">
        <v>0</v>
      </c>
      <c r="R50">
        <f t="shared" si="2"/>
        <v>1.0710583443000001</v>
      </c>
      <c r="S50">
        <f t="shared" si="0"/>
        <v>1.5351392059499999E-2</v>
      </c>
      <c r="T50">
        <f t="shared" si="1"/>
        <v>1.438594415475E-3</v>
      </c>
      <c r="U50">
        <f t="shared" si="3"/>
        <v>0.25996514634146339</v>
      </c>
    </row>
    <row r="51" spans="2:21" x14ac:dyDescent="0.3">
      <c r="B51">
        <v>21000</v>
      </c>
      <c r="C51">
        <v>4.1999999999999997E-3</v>
      </c>
      <c r="D51">
        <v>-1.1136313E-3</v>
      </c>
      <c r="E51">
        <v>0</v>
      </c>
      <c r="F51">
        <v>0.98114661000000003</v>
      </c>
      <c r="G51">
        <v>1.0046980999999999</v>
      </c>
      <c r="H51">
        <v>0.48593987</v>
      </c>
      <c r="I51">
        <v>0.36665500000000001</v>
      </c>
      <c r="J51">
        <v>5.8849147999999999E-14</v>
      </c>
      <c r="K51">
        <v>-108159.37</v>
      </c>
      <c r="L51">
        <v>-893.88487999999995</v>
      </c>
      <c r="M51">
        <v>-105.96102</v>
      </c>
      <c r="N51">
        <v>75.754838000000007</v>
      </c>
      <c r="O51">
        <v>65.258465000000001</v>
      </c>
      <c r="P51">
        <v>0</v>
      </c>
      <c r="R51">
        <f t="shared" si="2"/>
        <v>1.095924816525</v>
      </c>
      <c r="S51">
        <f t="shared" si="0"/>
        <v>9.0572885465999998E-3</v>
      </c>
      <c r="T51">
        <f t="shared" si="1"/>
        <v>1.0736500351500001E-3</v>
      </c>
      <c r="U51">
        <f t="shared" si="3"/>
        <v>0.26515030952380952</v>
      </c>
    </row>
    <row r="52" spans="2:21" x14ac:dyDescent="0.3">
      <c r="B52">
        <v>21500</v>
      </c>
      <c r="C52">
        <v>4.3E-3</v>
      </c>
      <c r="D52">
        <v>-1.193965E-3</v>
      </c>
      <c r="E52">
        <v>0</v>
      </c>
      <c r="F52">
        <v>0.95445349999999995</v>
      </c>
      <c r="G52">
        <v>1.0384925</v>
      </c>
      <c r="H52">
        <v>0.50493127000000004</v>
      </c>
      <c r="I52">
        <v>0.38559612999999998</v>
      </c>
      <c r="J52">
        <v>5.6940895999999998E-14</v>
      </c>
      <c r="K52">
        <v>-110465.69</v>
      </c>
      <c r="L52">
        <v>735.83326</v>
      </c>
      <c r="M52">
        <v>331.82078000000001</v>
      </c>
      <c r="N52">
        <v>75.762382000000002</v>
      </c>
      <c r="O52">
        <v>65.253217000000006</v>
      </c>
      <c r="P52">
        <v>0</v>
      </c>
      <c r="R52">
        <f t="shared" si="2"/>
        <v>1.1192936039250001</v>
      </c>
      <c r="S52">
        <f t="shared" si="0"/>
        <v>-7.4558305069500003E-3</v>
      </c>
      <c r="T52">
        <f t="shared" si="1"/>
        <v>-3.3621740533500001E-3</v>
      </c>
      <c r="U52">
        <f t="shared" si="3"/>
        <v>0.27766627906976743</v>
      </c>
    </row>
    <row r="53" spans="2:21" x14ac:dyDescent="0.3">
      <c r="B53">
        <v>22000</v>
      </c>
      <c r="C53">
        <v>4.4000000000000003E-3</v>
      </c>
      <c r="D53">
        <v>-1.2499976999999999E-3</v>
      </c>
      <c r="E53">
        <v>0</v>
      </c>
      <c r="F53">
        <v>1.0420096999999999</v>
      </c>
      <c r="G53">
        <v>1.0779050999999999</v>
      </c>
      <c r="H53">
        <v>0.51424307000000002</v>
      </c>
      <c r="I53">
        <v>0.40212347999999998</v>
      </c>
      <c r="J53">
        <v>5.7326588000000002E-14</v>
      </c>
      <c r="K53">
        <v>-112904.15</v>
      </c>
      <c r="L53">
        <v>1633.3633</v>
      </c>
      <c r="M53">
        <v>-488.85852</v>
      </c>
      <c r="N53">
        <v>75.769925999999998</v>
      </c>
      <c r="O53">
        <v>65.249555999999998</v>
      </c>
      <c r="P53">
        <v>0</v>
      </c>
      <c r="R53">
        <f t="shared" si="2"/>
        <v>1.144001299875</v>
      </c>
      <c r="S53">
        <f t="shared" si="0"/>
        <v>-1.6550053637250001E-2</v>
      </c>
      <c r="T53">
        <f t="shared" si="1"/>
        <v>4.9533589539000004E-3</v>
      </c>
      <c r="U53">
        <f t="shared" si="3"/>
        <v>0.28409038636363632</v>
      </c>
    </row>
    <row r="54" spans="2:21" x14ac:dyDescent="0.3">
      <c r="B54">
        <v>22500</v>
      </c>
      <c r="C54">
        <v>4.4999999999999997E-3</v>
      </c>
      <c r="D54">
        <v>-1.2472055999999999E-3</v>
      </c>
      <c r="E54">
        <v>0</v>
      </c>
      <c r="F54">
        <v>1.0130285000000001</v>
      </c>
      <c r="G54">
        <v>1.1153442</v>
      </c>
      <c r="H54">
        <v>0.53902218000000002</v>
      </c>
      <c r="I54">
        <v>0.41927630999999999</v>
      </c>
      <c r="J54">
        <v>6.0422778000000001E-14</v>
      </c>
      <c r="K54">
        <v>-115584.76</v>
      </c>
      <c r="L54">
        <v>708.35338999999999</v>
      </c>
      <c r="M54">
        <v>490.44643000000002</v>
      </c>
      <c r="N54">
        <v>75.777469999999994</v>
      </c>
      <c r="O54">
        <v>65.249739000000005</v>
      </c>
      <c r="P54">
        <v>0</v>
      </c>
      <c r="R54">
        <f t="shared" si="2"/>
        <v>1.1711625806999999</v>
      </c>
      <c r="S54">
        <f t="shared" si="0"/>
        <v>-7.177390724175E-3</v>
      </c>
      <c r="T54">
        <f t="shared" si="1"/>
        <v>-4.9694484519750004E-3</v>
      </c>
      <c r="U54">
        <f t="shared" si="3"/>
        <v>0.27715679999999998</v>
      </c>
    </row>
    <row r="55" spans="2:21" x14ac:dyDescent="0.3">
      <c r="B55">
        <v>23000</v>
      </c>
      <c r="C55">
        <v>4.5999999999999999E-3</v>
      </c>
      <c r="D55">
        <v>-1.2233563E-3</v>
      </c>
      <c r="E55">
        <v>0</v>
      </c>
      <c r="F55">
        <v>0.96086614999999997</v>
      </c>
      <c r="G55">
        <v>1.1453739000000001</v>
      </c>
      <c r="H55">
        <v>0.56621041000000005</v>
      </c>
      <c r="I55">
        <v>0.43020422000000003</v>
      </c>
      <c r="J55">
        <v>6.0950800000000003E-14</v>
      </c>
      <c r="K55">
        <v>-118373.52</v>
      </c>
      <c r="L55">
        <v>-844.03192000000001</v>
      </c>
      <c r="M55">
        <v>-312.39643000000001</v>
      </c>
      <c r="N55">
        <v>75.785014000000004</v>
      </c>
      <c r="O55">
        <v>65.251296999999994</v>
      </c>
      <c r="P55">
        <v>0</v>
      </c>
      <c r="R55">
        <f t="shared" si="2"/>
        <v>1.1994196913999999</v>
      </c>
      <c r="S55">
        <f t="shared" si="0"/>
        <v>8.5521534293999998E-3</v>
      </c>
      <c r="T55">
        <f t="shared" si="1"/>
        <v>3.165356826975E-3</v>
      </c>
      <c r="U55">
        <f t="shared" si="3"/>
        <v>0.26594702173913043</v>
      </c>
    </row>
    <row r="56" spans="2:21" x14ac:dyDescent="0.3">
      <c r="B56">
        <v>23500</v>
      </c>
      <c r="C56">
        <v>4.7000000000000002E-3</v>
      </c>
      <c r="D56">
        <v>-1.2408683000000001E-3</v>
      </c>
      <c r="E56">
        <v>0</v>
      </c>
      <c r="F56">
        <v>1.0346469</v>
      </c>
      <c r="G56">
        <v>1.1807569</v>
      </c>
      <c r="H56">
        <v>0.58148053</v>
      </c>
      <c r="I56">
        <v>0.43887923000000001</v>
      </c>
      <c r="J56">
        <v>5.8645977000000006E-14</v>
      </c>
      <c r="K56">
        <v>-120989.93</v>
      </c>
      <c r="L56">
        <v>-1111.9445000000001</v>
      </c>
      <c r="M56">
        <v>39.528756000000001</v>
      </c>
      <c r="N56">
        <v>75.792557000000002</v>
      </c>
      <c r="O56">
        <v>65.250152999999997</v>
      </c>
      <c r="P56">
        <v>0</v>
      </c>
      <c r="R56">
        <f t="shared" si="2"/>
        <v>1.2259304657249999</v>
      </c>
      <c r="S56">
        <f t="shared" si="0"/>
        <v>1.126677764625E-2</v>
      </c>
      <c r="T56">
        <f t="shared" si="1"/>
        <v>-4.0052512017000003E-4</v>
      </c>
      <c r="U56">
        <f t="shared" si="3"/>
        <v>0.2640145319148936</v>
      </c>
    </row>
    <row r="57" spans="2:21" x14ac:dyDescent="0.3">
      <c r="B57">
        <v>24000</v>
      </c>
      <c r="C57">
        <v>4.7999999999999996E-3</v>
      </c>
      <c r="D57">
        <v>-1.2965861E-3</v>
      </c>
      <c r="E57">
        <v>0</v>
      </c>
      <c r="F57">
        <v>1.0005519</v>
      </c>
      <c r="G57">
        <v>1.2222827999999999</v>
      </c>
      <c r="H57">
        <v>0.60547656999999999</v>
      </c>
      <c r="I57">
        <v>0.46169465999999998</v>
      </c>
      <c r="J57">
        <v>5.7216897999999998E-14</v>
      </c>
      <c r="K57">
        <v>-123417.07</v>
      </c>
      <c r="L57">
        <v>-225.81038000000001</v>
      </c>
      <c r="M57">
        <v>256.91032000000001</v>
      </c>
      <c r="N57">
        <v>75.800100999999998</v>
      </c>
      <c r="O57">
        <v>65.246512999999993</v>
      </c>
      <c r="P57">
        <v>0</v>
      </c>
      <c r="R57">
        <f t="shared" si="2"/>
        <v>1.2505234617750001</v>
      </c>
      <c r="S57">
        <f t="shared" si="0"/>
        <v>2.28802367535E-3</v>
      </c>
      <c r="T57">
        <f t="shared" si="1"/>
        <v>-2.6031438174000002E-3</v>
      </c>
      <c r="U57">
        <f t="shared" si="3"/>
        <v>0.27012210416666671</v>
      </c>
    </row>
    <row r="58" spans="2:21" x14ac:dyDescent="0.3">
      <c r="B58">
        <v>24500</v>
      </c>
      <c r="C58">
        <v>4.8999999999999998E-3</v>
      </c>
      <c r="D58">
        <v>-1.3458852999999999E-3</v>
      </c>
      <c r="E58">
        <v>0</v>
      </c>
      <c r="F58">
        <v>1.0136475</v>
      </c>
      <c r="G58">
        <v>1.2628067999999999</v>
      </c>
      <c r="H58">
        <v>0.62314709000000001</v>
      </c>
      <c r="I58">
        <v>0.48251793999999998</v>
      </c>
      <c r="J58">
        <v>6.0570216E-14</v>
      </c>
      <c r="K58">
        <v>-125890.35</v>
      </c>
      <c r="L58">
        <v>473.49988000000002</v>
      </c>
      <c r="M58">
        <v>-479.37115</v>
      </c>
      <c r="N58">
        <v>75.807644999999994</v>
      </c>
      <c r="O58">
        <v>65.243291999999997</v>
      </c>
      <c r="P58">
        <v>0</v>
      </c>
      <c r="R58">
        <f t="shared" si="2"/>
        <v>1.2755839713750001</v>
      </c>
      <c r="S58">
        <f t="shared" si="0"/>
        <v>-4.7977375341000002E-3</v>
      </c>
      <c r="T58">
        <f t="shared" si="1"/>
        <v>4.857228177375E-3</v>
      </c>
      <c r="U58">
        <f t="shared" si="3"/>
        <v>0.27467046938775508</v>
      </c>
    </row>
    <row r="59" spans="2:21" x14ac:dyDescent="0.3">
      <c r="B59">
        <v>25000</v>
      </c>
      <c r="C59">
        <v>5.0000000000000001E-3</v>
      </c>
      <c r="D59">
        <v>-1.3698878E-3</v>
      </c>
      <c r="E59">
        <v>0</v>
      </c>
      <c r="F59">
        <v>0.98627606000000001</v>
      </c>
      <c r="G59">
        <v>1.307145</v>
      </c>
      <c r="H59">
        <v>0.65170848000000003</v>
      </c>
      <c r="I59">
        <v>0.50253804999999996</v>
      </c>
      <c r="J59">
        <v>5.8750560000000002E-14</v>
      </c>
      <c r="K59">
        <v>-128474.14</v>
      </c>
      <c r="L59">
        <v>407.82533000000001</v>
      </c>
      <c r="M59">
        <v>483.84822000000003</v>
      </c>
      <c r="N59">
        <v>75.815189000000004</v>
      </c>
      <c r="O59">
        <v>65.241724000000005</v>
      </c>
      <c r="P59">
        <v>0</v>
      </c>
      <c r="R59">
        <f t="shared" si="2"/>
        <v>1.30176422355</v>
      </c>
      <c r="S59">
        <f t="shared" si="0"/>
        <v>-4.1322901562250002E-3</v>
      </c>
      <c r="T59">
        <f t="shared" si="1"/>
        <v>-4.9025920891500006E-3</v>
      </c>
      <c r="U59">
        <f t="shared" si="3"/>
        <v>0.27397756000000001</v>
      </c>
    </row>
    <row r="60" spans="2:21" x14ac:dyDescent="0.3">
      <c r="B60">
        <v>25500</v>
      </c>
      <c r="C60">
        <v>5.1000000000000004E-3</v>
      </c>
      <c r="D60">
        <v>-1.3793297999999999E-3</v>
      </c>
      <c r="E60">
        <v>0</v>
      </c>
      <c r="F60">
        <v>1.0383328999999999</v>
      </c>
      <c r="G60">
        <v>1.3526644000000001</v>
      </c>
      <c r="H60">
        <v>0.67569164999999998</v>
      </c>
      <c r="I60">
        <v>0.51600416999999998</v>
      </c>
      <c r="J60">
        <v>5.6755933000000003E-14</v>
      </c>
      <c r="K60">
        <v>-131111.63</v>
      </c>
      <c r="L60">
        <v>-113.12195</v>
      </c>
      <c r="M60">
        <v>-247.64274</v>
      </c>
      <c r="N60">
        <v>75.822732999999999</v>
      </c>
      <c r="O60">
        <v>65.241107</v>
      </c>
      <c r="P60">
        <v>0</v>
      </c>
      <c r="R60">
        <f t="shared" si="2"/>
        <v>1.3284885909749999</v>
      </c>
      <c r="S60">
        <f t="shared" si="0"/>
        <v>1.1462081583750001E-3</v>
      </c>
      <c r="T60">
        <f t="shared" si="1"/>
        <v>2.5092400630499999E-3</v>
      </c>
      <c r="U60">
        <f t="shared" si="3"/>
        <v>0.27045682352941175</v>
      </c>
    </row>
    <row r="61" spans="2:21" x14ac:dyDescent="0.3">
      <c r="B61">
        <v>26000</v>
      </c>
      <c r="C61">
        <v>5.1999999999999998E-3</v>
      </c>
      <c r="D61">
        <v>-1.3943202E-3</v>
      </c>
      <c r="E61">
        <v>0</v>
      </c>
      <c r="F61">
        <v>0.96668189999999998</v>
      </c>
      <c r="G61">
        <v>1.3827468999999999</v>
      </c>
      <c r="H61">
        <v>0.69639048999999997</v>
      </c>
      <c r="I61">
        <v>0.53649561000000001</v>
      </c>
      <c r="J61">
        <v>6.0260906999999995E-14</v>
      </c>
      <c r="K61">
        <v>-133748.26</v>
      </c>
      <c r="L61">
        <v>-464.56486999999998</v>
      </c>
      <c r="M61">
        <v>-115.85444</v>
      </c>
      <c r="N61">
        <v>75.830275999999998</v>
      </c>
      <c r="O61">
        <v>65.240127999999999</v>
      </c>
      <c r="P61">
        <v>0</v>
      </c>
      <c r="R61">
        <f t="shared" si="2"/>
        <v>1.3552042444500001</v>
      </c>
      <c r="S61">
        <f t="shared" si="0"/>
        <v>4.7072035452749997E-3</v>
      </c>
      <c r="T61">
        <f t="shared" si="1"/>
        <v>1.1738951132999999E-3</v>
      </c>
      <c r="U61">
        <f t="shared" si="3"/>
        <v>0.2681385</v>
      </c>
    </row>
    <row r="62" spans="2:21" x14ac:dyDescent="0.3">
      <c r="B62">
        <v>26500</v>
      </c>
      <c r="C62">
        <v>5.3E-3</v>
      </c>
      <c r="D62">
        <v>-1.4272722999999999E-3</v>
      </c>
      <c r="E62">
        <v>0</v>
      </c>
      <c r="F62">
        <v>1.00247</v>
      </c>
      <c r="G62">
        <v>1.4222622</v>
      </c>
      <c r="H62">
        <v>0.71541242000000005</v>
      </c>
      <c r="I62">
        <v>0.55144088000000002</v>
      </c>
      <c r="J62">
        <v>5.9058092000000006E-14</v>
      </c>
      <c r="K62">
        <v>-136279.29</v>
      </c>
      <c r="L62">
        <v>-272.71453000000002</v>
      </c>
      <c r="M62">
        <v>422.71521999999999</v>
      </c>
      <c r="N62">
        <v>75.837819999999994</v>
      </c>
      <c r="O62">
        <v>65.237975000000006</v>
      </c>
      <c r="P62">
        <v>0</v>
      </c>
      <c r="R62">
        <f t="shared" si="2"/>
        <v>1.3808499059250001</v>
      </c>
      <c r="S62">
        <f t="shared" si="0"/>
        <v>2.7632799752250001E-3</v>
      </c>
      <c r="T62">
        <f t="shared" si="1"/>
        <v>-4.2831619666500002E-3</v>
      </c>
      <c r="U62">
        <f t="shared" si="3"/>
        <v>0.2692966603773585</v>
      </c>
    </row>
    <row r="63" spans="2:21" x14ac:dyDescent="0.3">
      <c r="B63">
        <v>27000</v>
      </c>
      <c r="C63">
        <v>5.4000000000000003E-3</v>
      </c>
      <c r="D63">
        <v>-1.4719662E-3</v>
      </c>
      <c r="E63">
        <v>0</v>
      </c>
      <c r="F63">
        <v>0.97578986000000001</v>
      </c>
      <c r="G63">
        <v>1.4623664000000001</v>
      </c>
      <c r="H63">
        <v>0.73894937999999999</v>
      </c>
      <c r="I63">
        <v>0.57214425000000002</v>
      </c>
      <c r="J63">
        <v>5.9901194999999995E-14</v>
      </c>
      <c r="K63">
        <v>-138755.67000000001</v>
      </c>
      <c r="L63">
        <v>277.22134999999997</v>
      </c>
      <c r="M63">
        <v>-487.30009000000001</v>
      </c>
      <c r="N63">
        <v>75.845364000000004</v>
      </c>
      <c r="O63">
        <v>65.235055000000003</v>
      </c>
      <c r="P63">
        <v>0</v>
      </c>
      <c r="R63">
        <f t="shared" si="2"/>
        <v>1.4059418262750001</v>
      </c>
      <c r="S63">
        <f t="shared" si="0"/>
        <v>-2.8089453288749999E-3</v>
      </c>
      <c r="T63">
        <f t="shared" si="1"/>
        <v>4.9375681619250001E-3</v>
      </c>
      <c r="U63">
        <f t="shared" si="3"/>
        <v>0.27258633333333332</v>
      </c>
    </row>
    <row r="64" spans="2:21" x14ac:dyDescent="0.3">
      <c r="B64">
        <v>27500</v>
      </c>
      <c r="C64">
        <v>5.4999999999999997E-3</v>
      </c>
      <c r="D64">
        <v>-1.5116193E-3</v>
      </c>
      <c r="E64">
        <v>0</v>
      </c>
      <c r="F64">
        <v>0.97082383000000005</v>
      </c>
      <c r="G64">
        <v>1.5068212999999999</v>
      </c>
      <c r="H64">
        <v>0.76608834999999997</v>
      </c>
      <c r="I64">
        <v>0.59023000000000003</v>
      </c>
      <c r="J64">
        <v>5.9226846000000003E-14</v>
      </c>
      <c r="K64">
        <v>-141238.69</v>
      </c>
      <c r="L64">
        <v>668.79295999999999</v>
      </c>
      <c r="M64">
        <v>252.68208999999999</v>
      </c>
      <c r="N64">
        <v>75.852907999999999</v>
      </c>
      <c r="O64">
        <v>65.232463999999993</v>
      </c>
      <c r="P64">
        <v>0</v>
      </c>
      <c r="R64">
        <f t="shared" si="2"/>
        <v>1.4311010264249999</v>
      </c>
      <c r="S64">
        <f t="shared" si="0"/>
        <v>-6.7765446671999999E-3</v>
      </c>
      <c r="T64">
        <f t="shared" si="1"/>
        <v>-2.5603012769249999E-3</v>
      </c>
      <c r="U64">
        <f t="shared" si="3"/>
        <v>0.27483987272727273</v>
      </c>
    </row>
    <row r="65" spans="2:21" x14ac:dyDescent="0.3">
      <c r="B65">
        <v>28000</v>
      </c>
      <c r="C65">
        <v>5.5999999999999999E-3</v>
      </c>
      <c r="D65">
        <v>-1.5130949000000001E-3</v>
      </c>
      <c r="E65">
        <v>0</v>
      </c>
      <c r="F65">
        <v>1.0191425000000001</v>
      </c>
      <c r="G65">
        <v>1.5546253000000001</v>
      </c>
      <c r="H65">
        <v>0.78909399000000002</v>
      </c>
      <c r="I65">
        <v>0.60753771999999995</v>
      </c>
      <c r="J65">
        <v>5.9659610999999996E-14</v>
      </c>
      <c r="K65">
        <v>-143871.9</v>
      </c>
      <c r="L65">
        <v>-141.93394000000001</v>
      </c>
      <c r="M65">
        <v>137.767</v>
      </c>
      <c r="N65">
        <v>75.860451999999995</v>
      </c>
      <c r="O65">
        <v>65.232367999999994</v>
      </c>
      <c r="P65">
        <v>0</v>
      </c>
      <c r="R65">
        <f t="shared" si="2"/>
        <v>1.4577820267499999</v>
      </c>
      <c r="S65">
        <f t="shared" si="0"/>
        <v>1.43814564705E-3</v>
      </c>
      <c r="T65">
        <f t="shared" si="1"/>
        <v>-1.3959241274999999E-3</v>
      </c>
      <c r="U65">
        <f t="shared" si="3"/>
        <v>0.27019551785714285</v>
      </c>
    </row>
    <row r="66" spans="2:21" x14ac:dyDescent="0.3">
      <c r="B66">
        <v>28500</v>
      </c>
      <c r="C66">
        <v>5.7000000000000002E-3</v>
      </c>
      <c r="D66">
        <v>-1.4933984000000001E-3</v>
      </c>
      <c r="E66">
        <v>0</v>
      </c>
      <c r="F66">
        <v>1.0062134</v>
      </c>
      <c r="G66">
        <v>1.5996908999999999</v>
      </c>
      <c r="H66">
        <v>0.81318557999999996</v>
      </c>
      <c r="I66">
        <v>0.63051606000000004</v>
      </c>
      <c r="J66">
        <v>5.6792571000000001E-14</v>
      </c>
      <c r="K66">
        <v>-146587.29</v>
      </c>
      <c r="L66">
        <v>-1627.2867000000001</v>
      </c>
      <c r="M66">
        <v>-450.66953999999998</v>
      </c>
      <c r="N66">
        <v>75.867994999999993</v>
      </c>
      <c r="O66">
        <v>65.233654999999999</v>
      </c>
      <c r="P66">
        <v>0</v>
      </c>
      <c r="R66">
        <f t="shared" si="2"/>
        <v>1.485295715925</v>
      </c>
      <c r="S66">
        <f t="shared" si="0"/>
        <v>1.6488482487750002E-2</v>
      </c>
      <c r="T66">
        <f t="shared" si="1"/>
        <v>4.5664091140499999E-3</v>
      </c>
      <c r="U66">
        <f t="shared" si="3"/>
        <v>0.26199971929824561</v>
      </c>
    </row>
    <row r="67" spans="2:21" x14ac:dyDescent="0.3">
      <c r="B67">
        <v>29000</v>
      </c>
      <c r="C67">
        <v>5.7999999999999996E-3</v>
      </c>
      <c r="D67">
        <v>-1.5458475000000001E-3</v>
      </c>
      <c r="E67">
        <v>0</v>
      </c>
      <c r="F67">
        <v>0.98020817000000005</v>
      </c>
      <c r="G67">
        <v>1.6434453</v>
      </c>
      <c r="H67">
        <v>0.84106254999999996</v>
      </c>
      <c r="I67">
        <v>0.65042500000000003</v>
      </c>
      <c r="J67">
        <v>5.5961014000000003E-14</v>
      </c>
      <c r="K67">
        <v>-148970.59</v>
      </c>
      <c r="L67">
        <v>-885.08852000000002</v>
      </c>
      <c r="M67">
        <v>442.69961999999998</v>
      </c>
      <c r="N67">
        <v>75.875539000000003</v>
      </c>
      <c r="O67">
        <v>65.230227999999997</v>
      </c>
      <c r="P67">
        <v>0</v>
      </c>
      <c r="R67">
        <f t="shared" si="2"/>
        <v>1.5094445031749999</v>
      </c>
      <c r="S67">
        <f t="shared" si="0"/>
        <v>8.9681594289000004E-3</v>
      </c>
      <c r="T67">
        <f t="shared" si="1"/>
        <v>-4.4856538996499995E-3</v>
      </c>
      <c r="U67">
        <f t="shared" si="3"/>
        <v>0.26652543103448278</v>
      </c>
    </row>
    <row r="68" spans="2:21" x14ac:dyDescent="0.3">
      <c r="B68">
        <v>29500</v>
      </c>
      <c r="C68">
        <v>5.8999999999999999E-3</v>
      </c>
      <c r="D68">
        <v>-1.6532406E-3</v>
      </c>
      <c r="E68">
        <v>0</v>
      </c>
      <c r="F68">
        <v>0.95781791000000005</v>
      </c>
      <c r="G68">
        <v>1.6848299</v>
      </c>
      <c r="H68">
        <v>0.85694356999999999</v>
      </c>
      <c r="I68">
        <v>0.67939969</v>
      </c>
      <c r="J68">
        <v>5.8582915999999994E-14</v>
      </c>
      <c r="K68">
        <v>-151103.54999999999</v>
      </c>
      <c r="L68">
        <v>1515.5413000000001</v>
      </c>
      <c r="M68">
        <v>-97.019042999999996</v>
      </c>
      <c r="N68">
        <v>75.883082999999999</v>
      </c>
      <c r="O68">
        <v>65.223212000000004</v>
      </c>
      <c r="P68">
        <v>0</v>
      </c>
      <c r="R68">
        <f t="shared" si="2"/>
        <v>1.5310567203749998</v>
      </c>
      <c r="S68">
        <f t="shared" si="0"/>
        <v>-1.5356222222250001E-2</v>
      </c>
      <c r="T68">
        <f t="shared" si="1"/>
        <v>9.8304545319750003E-4</v>
      </c>
      <c r="U68">
        <f t="shared" si="3"/>
        <v>0.28021027118644071</v>
      </c>
    </row>
    <row r="69" spans="2:21" x14ac:dyDescent="0.3">
      <c r="B69">
        <v>30000</v>
      </c>
      <c r="C69">
        <v>6.0000000000000001E-3</v>
      </c>
      <c r="D69">
        <v>-1.6827839000000001E-3</v>
      </c>
      <c r="E69">
        <v>0</v>
      </c>
      <c r="F69">
        <v>0.97636995000000004</v>
      </c>
      <c r="G69">
        <v>1.7253448</v>
      </c>
      <c r="H69">
        <v>0.87480535000000004</v>
      </c>
      <c r="I69">
        <v>0.69917667999999999</v>
      </c>
      <c r="J69">
        <v>5.9157345999999996E-14</v>
      </c>
      <c r="K69">
        <v>-153574.17000000001</v>
      </c>
      <c r="L69">
        <v>1520.2238</v>
      </c>
      <c r="M69">
        <v>-305.97212000000002</v>
      </c>
      <c r="N69">
        <v>75.890626999999995</v>
      </c>
      <c r="O69">
        <v>65.221282000000002</v>
      </c>
      <c r="P69">
        <v>0</v>
      </c>
      <c r="R69">
        <f t="shared" si="2"/>
        <v>1.5560902775250001</v>
      </c>
      <c r="S69">
        <f t="shared" si="0"/>
        <v>-1.54036676535E-2</v>
      </c>
      <c r="T69">
        <f t="shared" si="1"/>
        <v>3.1002625059000002E-3</v>
      </c>
      <c r="U69">
        <f t="shared" si="3"/>
        <v>0.28046398333333333</v>
      </c>
    </row>
    <row r="70" spans="2:21" x14ac:dyDescent="0.3">
      <c r="B70">
        <v>30500</v>
      </c>
      <c r="C70">
        <v>6.1000000000000004E-3</v>
      </c>
      <c r="D70">
        <v>-1.6435105000000001E-3</v>
      </c>
      <c r="E70">
        <v>0</v>
      </c>
      <c r="F70">
        <v>0.96959340999999999</v>
      </c>
      <c r="G70">
        <v>1.7801479</v>
      </c>
      <c r="H70">
        <v>0.91236594999999998</v>
      </c>
      <c r="I70">
        <v>0.71746980000000005</v>
      </c>
      <c r="J70">
        <v>5.8451688000000005E-14</v>
      </c>
      <c r="K70">
        <v>-156342.6</v>
      </c>
      <c r="L70">
        <v>-568.76049999999998</v>
      </c>
      <c r="M70">
        <v>488.84194000000002</v>
      </c>
      <c r="N70">
        <v>75.898171000000005</v>
      </c>
      <c r="O70">
        <v>65.223848000000004</v>
      </c>
      <c r="P70">
        <v>0</v>
      </c>
      <c r="R70">
        <f t="shared" si="2"/>
        <v>1.5841413945</v>
      </c>
      <c r="S70">
        <f t="shared" si="0"/>
        <v>5.7629657662500002E-3</v>
      </c>
      <c r="T70">
        <f t="shared" si="1"/>
        <v>-4.9531909570500006E-3</v>
      </c>
      <c r="U70">
        <f t="shared" si="3"/>
        <v>0.26942795081967214</v>
      </c>
    </row>
    <row r="71" spans="2:21" x14ac:dyDescent="0.3">
      <c r="B71">
        <v>31000</v>
      </c>
      <c r="C71">
        <v>6.1999999999999998E-3</v>
      </c>
      <c r="D71">
        <v>-1.6587959000000001E-3</v>
      </c>
      <c r="E71">
        <v>0</v>
      </c>
      <c r="F71">
        <v>0.99864485000000003</v>
      </c>
      <c r="G71">
        <v>1.8338664</v>
      </c>
      <c r="H71">
        <v>0.93780911</v>
      </c>
      <c r="I71">
        <v>0.74124140000000005</v>
      </c>
      <c r="J71">
        <v>6.0351946000000006E-14</v>
      </c>
      <c r="K71">
        <v>-158871.75</v>
      </c>
      <c r="L71">
        <v>-994.01876000000004</v>
      </c>
      <c r="M71">
        <v>-239.93656999999999</v>
      </c>
      <c r="N71">
        <v>75.905714000000003</v>
      </c>
      <c r="O71">
        <v>65.222848999999997</v>
      </c>
      <c r="P71">
        <v>0</v>
      </c>
      <c r="R71">
        <f t="shared" si="2"/>
        <v>1.609768006875</v>
      </c>
      <c r="S71">
        <f t="shared" si="0"/>
        <v>1.00718950857E-2</v>
      </c>
      <c r="T71">
        <f t="shared" si="1"/>
        <v>2.4311572955250001E-3</v>
      </c>
      <c r="U71">
        <f t="shared" si="3"/>
        <v>0.26754772580645164</v>
      </c>
    </row>
    <row r="72" spans="2:21" x14ac:dyDescent="0.3">
      <c r="B72">
        <v>31500</v>
      </c>
      <c r="C72">
        <v>6.3E-3</v>
      </c>
      <c r="D72">
        <v>-1.7208162999999999E-3</v>
      </c>
      <c r="E72">
        <v>0</v>
      </c>
      <c r="F72">
        <v>1.0179649</v>
      </c>
      <c r="G72">
        <v>1.8860185</v>
      </c>
      <c r="H72">
        <v>0.96045806</v>
      </c>
      <c r="I72">
        <v>0.76774942000000002</v>
      </c>
      <c r="J72">
        <v>5.8238524999999994E-14</v>
      </c>
      <c r="K72">
        <v>-161243.82999999999</v>
      </c>
      <c r="L72">
        <v>62.210987000000003</v>
      </c>
      <c r="M72">
        <v>-255.72141999999999</v>
      </c>
      <c r="N72">
        <v>75.913257999999999</v>
      </c>
      <c r="O72">
        <v>65.218796999999995</v>
      </c>
      <c r="P72">
        <v>0</v>
      </c>
      <c r="R72">
        <f t="shared" si="2"/>
        <v>1.6338031074749999</v>
      </c>
      <c r="S72">
        <f t="shared" si="0"/>
        <v>-6.3035282577750002E-4</v>
      </c>
      <c r="T72">
        <f t="shared" si="1"/>
        <v>2.5910972881500001E-3</v>
      </c>
      <c r="U72">
        <f t="shared" si="3"/>
        <v>0.27314544444444444</v>
      </c>
    </row>
    <row r="73" spans="2:21" x14ac:dyDescent="0.3">
      <c r="B73">
        <v>32000</v>
      </c>
      <c r="C73">
        <v>6.4000000000000003E-3</v>
      </c>
      <c r="D73">
        <v>-1.7651603000000001E-3</v>
      </c>
      <c r="E73">
        <v>0</v>
      </c>
      <c r="F73">
        <v>1.0288394000000001</v>
      </c>
      <c r="G73">
        <v>1.9405113000000001</v>
      </c>
      <c r="H73">
        <v>0.98873971000000005</v>
      </c>
      <c r="I73">
        <v>0.79227475999999997</v>
      </c>
      <c r="J73">
        <v>5.8981929999999998E-14</v>
      </c>
      <c r="K73">
        <v>-163692.87</v>
      </c>
      <c r="L73">
        <v>586.38412000000005</v>
      </c>
      <c r="M73">
        <v>504.90143</v>
      </c>
      <c r="N73">
        <v>75.920801999999995</v>
      </c>
      <c r="O73">
        <v>65.215900000000005</v>
      </c>
      <c r="P73">
        <v>0</v>
      </c>
      <c r="R73">
        <f t="shared" si="2"/>
        <v>1.6586180052749999</v>
      </c>
      <c r="S73">
        <f t="shared" ref="S73:S136" si="4">-L73*$B$3</f>
        <v>-5.9415370959000008E-3</v>
      </c>
      <c r="T73">
        <f t="shared" ref="T73:T136" si="5">-M73*$B$3</f>
        <v>-5.115913739475E-3</v>
      </c>
      <c r="U73">
        <f t="shared" si="3"/>
        <v>0.27580629687500002</v>
      </c>
    </row>
    <row r="74" spans="2:21" x14ac:dyDescent="0.3">
      <c r="B74">
        <v>32500</v>
      </c>
      <c r="C74">
        <v>6.4999999999999997E-3</v>
      </c>
      <c r="D74">
        <v>-1.7770905E-3</v>
      </c>
      <c r="E74">
        <v>0</v>
      </c>
      <c r="F74">
        <v>1.0967545999999999</v>
      </c>
      <c r="G74">
        <v>1.9898207999999999</v>
      </c>
      <c r="H74">
        <v>1.0101973</v>
      </c>
      <c r="I74">
        <v>0.80959798000000005</v>
      </c>
      <c r="J74">
        <v>6.0465188000000002E-14</v>
      </c>
      <c r="K74">
        <v>-166362.32</v>
      </c>
      <c r="L74">
        <v>184.90376000000001</v>
      </c>
      <c r="M74">
        <v>-265.00409999999999</v>
      </c>
      <c r="N74">
        <v>75.928346000000005</v>
      </c>
      <c r="O74">
        <v>65.215120999999996</v>
      </c>
      <c r="P74">
        <v>0</v>
      </c>
      <c r="R74">
        <f t="shared" ref="R74:R137" si="6">-K74*$B$3</f>
        <v>1.6856662074000002</v>
      </c>
      <c r="S74">
        <f t="shared" si="4"/>
        <v>-1.8735373482000001E-3</v>
      </c>
      <c r="T74">
        <f t="shared" si="5"/>
        <v>2.6851540432499999E-3</v>
      </c>
      <c r="U74">
        <f t="shared" ref="U74:U137" si="7">-D74/C74</f>
        <v>0.2733985384615385</v>
      </c>
    </row>
    <row r="75" spans="2:21" x14ac:dyDescent="0.3">
      <c r="B75">
        <v>33000</v>
      </c>
      <c r="C75">
        <v>6.6E-3</v>
      </c>
      <c r="D75">
        <v>-1.7798635E-3</v>
      </c>
      <c r="E75">
        <v>0</v>
      </c>
      <c r="F75">
        <v>1.0039335</v>
      </c>
      <c r="G75">
        <v>2.0319419999999999</v>
      </c>
      <c r="H75">
        <v>1.0509820000000001</v>
      </c>
      <c r="I75">
        <v>0.82532415999999997</v>
      </c>
      <c r="J75">
        <v>6.0477623000000003E-14</v>
      </c>
      <c r="K75">
        <v>-169112.47</v>
      </c>
      <c r="L75">
        <v>-434.22514999999999</v>
      </c>
      <c r="M75">
        <v>-239.63417000000001</v>
      </c>
      <c r="N75">
        <v>75.935890000000001</v>
      </c>
      <c r="O75">
        <v>65.214939999999999</v>
      </c>
      <c r="P75">
        <v>0</v>
      </c>
      <c r="R75">
        <f t="shared" si="6"/>
        <v>1.7135321022750001</v>
      </c>
      <c r="S75">
        <f t="shared" si="4"/>
        <v>4.3997863323750001E-3</v>
      </c>
      <c r="T75">
        <f t="shared" si="5"/>
        <v>2.4280932275250002E-3</v>
      </c>
      <c r="U75">
        <f t="shared" si="7"/>
        <v>0.26967628787878789</v>
      </c>
    </row>
    <row r="76" spans="2:21" x14ac:dyDescent="0.3">
      <c r="B76">
        <v>33500</v>
      </c>
      <c r="C76">
        <v>6.7000000000000002E-3</v>
      </c>
      <c r="D76">
        <v>-1.8076946000000001E-3</v>
      </c>
      <c r="E76">
        <v>0</v>
      </c>
      <c r="F76">
        <v>1.0333589000000001</v>
      </c>
      <c r="G76">
        <v>2.0839953000000002</v>
      </c>
      <c r="H76">
        <v>1.0762655000000001</v>
      </c>
      <c r="I76">
        <v>0.84753221999999995</v>
      </c>
      <c r="J76">
        <v>5.9376281999999996E-14</v>
      </c>
      <c r="K76">
        <v>-171756.97</v>
      </c>
      <c r="L76">
        <v>-298.42970000000003</v>
      </c>
      <c r="M76">
        <v>478.74639999999999</v>
      </c>
      <c r="N76">
        <v>75.943432999999999</v>
      </c>
      <c r="O76">
        <v>65.213121000000001</v>
      </c>
      <c r="P76">
        <v>0</v>
      </c>
      <c r="R76">
        <f t="shared" si="6"/>
        <v>1.7403274985249999</v>
      </c>
      <c r="S76">
        <f t="shared" si="4"/>
        <v>3.0238389352500003E-3</v>
      </c>
      <c r="T76">
        <f t="shared" si="5"/>
        <v>-4.8508978979999997E-3</v>
      </c>
      <c r="U76">
        <f t="shared" si="7"/>
        <v>0.2698051641791045</v>
      </c>
    </row>
    <row r="77" spans="2:21" x14ac:dyDescent="0.3">
      <c r="B77">
        <v>34000</v>
      </c>
      <c r="C77">
        <v>6.7999999999999996E-3</v>
      </c>
      <c r="D77">
        <v>-1.8535121999999999E-3</v>
      </c>
      <c r="E77">
        <v>0</v>
      </c>
      <c r="F77">
        <v>0.97777069999999999</v>
      </c>
      <c r="G77">
        <v>2.1379117000000001</v>
      </c>
      <c r="H77">
        <v>1.1149393000000001</v>
      </c>
      <c r="I77">
        <v>0.87139255999999998</v>
      </c>
      <c r="J77">
        <v>5.9641625000000003E-14</v>
      </c>
      <c r="K77">
        <v>-174333.45</v>
      </c>
      <c r="L77">
        <v>417.28341999999998</v>
      </c>
      <c r="M77">
        <v>-198.18186</v>
      </c>
      <c r="N77">
        <v>75.950976999999995</v>
      </c>
      <c r="O77">
        <v>65.210127999999997</v>
      </c>
      <c r="P77">
        <v>0</v>
      </c>
      <c r="R77">
        <f t="shared" si="6"/>
        <v>1.7664336821250002</v>
      </c>
      <c r="S77">
        <f t="shared" si="4"/>
        <v>-4.2281242531499999E-3</v>
      </c>
      <c r="T77">
        <f t="shared" si="5"/>
        <v>2.0080776964500001E-3</v>
      </c>
      <c r="U77">
        <f t="shared" si="7"/>
        <v>0.27257532352941177</v>
      </c>
    </row>
    <row r="78" spans="2:21" x14ac:dyDescent="0.3">
      <c r="B78">
        <v>34500</v>
      </c>
      <c r="C78">
        <v>6.8999999999999999E-3</v>
      </c>
      <c r="D78">
        <v>-1.8764157E-3</v>
      </c>
      <c r="E78">
        <v>0</v>
      </c>
      <c r="F78">
        <v>1.0423277</v>
      </c>
      <c r="G78">
        <v>2.2065744999999999</v>
      </c>
      <c r="H78">
        <v>1.1474808000000001</v>
      </c>
      <c r="I78">
        <v>0.89750578000000003</v>
      </c>
      <c r="J78">
        <v>6.1314286999999998E-14</v>
      </c>
      <c r="K78">
        <v>-176976.67</v>
      </c>
      <c r="L78">
        <v>394.18477999999999</v>
      </c>
      <c r="M78">
        <v>-335.29250999999999</v>
      </c>
      <c r="N78">
        <v>75.958521000000005</v>
      </c>
      <c r="O78">
        <v>65.208631999999994</v>
      </c>
      <c r="P78">
        <v>0</v>
      </c>
      <c r="R78">
        <f t="shared" si="6"/>
        <v>1.793216108775</v>
      </c>
      <c r="S78">
        <f t="shared" si="4"/>
        <v>-3.9940772833500001E-3</v>
      </c>
      <c r="T78">
        <f t="shared" si="5"/>
        <v>3.3973513575749998E-3</v>
      </c>
      <c r="U78">
        <f t="shared" si="7"/>
        <v>0.27194430434782607</v>
      </c>
    </row>
    <row r="79" spans="2:21" x14ac:dyDescent="0.3">
      <c r="B79">
        <v>35000</v>
      </c>
      <c r="C79">
        <v>7.0000000000000001E-3</v>
      </c>
      <c r="D79">
        <v>-1.8714713000000001E-3</v>
      </c>
      <c r="E79">
        <v>0</v>
      </c>
      <c r="F79">
        <v>0.99640689999999998</v>
      </c>
      <c r="G79">
        <v>2.2515081000000001</v>
      </c>
      <c r="H79">
        <v>1.1798398000000001</v>
      </c>
      <c r="I79">
        <v>0.91719927999999995</v>
      </c>
      <c r="J79">
        <v>5.9382054999999998E-14</v>
      </c>
      <c r="K79">
        <v>-179653.17</v>
      </c>
      <c r="L79">
        <v>-585.52880000000005</v>
      </c>
      <c r="M79">
        <v>476.59939000000003</v>
      </c>
      <c r="N79">
        <v>75.966065</v>
      </c>
      <c r="O79">
        <v>65.208955000000003</v>
      </c>
      <c r="P79">
        <v>0</v>
      </c>
      <c r="R79">
        <f t="shared" si="6"/>
        <v>1.8203357450250002</v>
      </c>
      <c r="S79">
        <f t="shared" si="4"/>
        <v>5.9328705660000002E-3</v>
      </c>
      <c r="T79">
        <f t="shared" si="5"/>
        <v>-4.8291433191749999E-3</v>
      </c>
      <c r="U79">
        <f t="shared" si="7"/>
        <v>0.26735304285714284</v>
      </c>
    </row>
    <row r="80" spans="2:21" x14ac:dyDescent="0.3">
      <c r="B80">
        <v>35500</v>
      </c>
      <c r="C80">
        <v>7.1000000000000004E-3</v>
      </c>
      <c r="D80">
        <v>-1.8949163000000001E-3</v>
      </c>
      <c r="E80">
        <v>0</v>
      </c>
      <c r="F80">
        <v>0.99861166999999995</v>
      </c>
      <c r="G80">
        <v>2.3038132</v>
      </c>
      <c r="H80">
        <v>1.2070764</v>
      </c>
      <c r="I80">
        <v>0.94192606000000001</v>
      </c>
      <c r="J80">
        <v>5.6225913000000001E-14</v>
      </c>
      <c r="K80">
        <v>-182119.78</v>
      </c>
      <c r="L80">
        <v>-781.19710999999995</v>
      </c>
      <c r="M80">
        <v>-21.866015000000001</v>
      </c>
      <c r="N80">
        <v>75.973608999999996</v>
      </c>
      <c r="O80">
        <v>65.207423000000006</v>
      </c>
      <c r="P80">
        <v>0</v>
      </c>
      <c r="R80">
        <f t="shared" si="6"/>
        <v>1.8453286708500001</v>
      </c>
      <c r="S80">
        <f t="shared" si="4"/>
        <v>7.9154797170749996E-3</v>
      </c>
      <c r="T80">
        <f t="shared" si="5"/>
        <v>2.215573969875E-4</v>
      </c>
      <c r="U80">
        <f t="shared" si="7"/>
        <v>0.26688961971830988</v>
      </c>
    </row>
    <row r="81" spans="2:21" x14ac:dyDescent="0.3">
      <c r="B81">
        <v>36000</v>
      </c>
      <c r="C81">
        <v>7.1999999999999998E-3</v>
      </c>
      <c r="D81">
        <v>-1.9756087E-3</v>
      </c>
      <c r="E81">
        <v>0</v>
      </c>
      <c r="F81">
        <v>0.99033274999999998</v>
      </c>
      <c r="G81">
        <v>2.3566384</v>
      </c>
      <c r="H81">
        <v>1.2265455999999999</v>
      </c>
      <c r="I81">
        <v>0.97656544000000001</v>
      </c>
      <c r="J81">
        <v>5.9412474999999999E-14</v>
      </c>
      <c r="K81">
        <v>-184280.86</v>
      </c>
      <c r="L81">
        <v>708.66079999999999</v>
      </c>
      <c r="M81">
        <v>-450.82254999999998</v>
      </c>
      <c r="N81">
        <v>75.981151999999994</v>
      </c>
      <c r="O81">
        <v>65.202151000000001</v>
      </c>
      <c r="P81">
        <v>0</v>
      </c>
      <c r="R81">
        <f t="shared" si="6"/>
        <v>1.8672258139499998</v>
      </c>
      <c r="S81">
        <f t="shared" si="4"/>
        <v>-7.1805055559999997E-3</v>
      </c>
      <c r="T81">
        <f t="shared" si="5"/>
        <v>4.5679594878749999E-3</v>
      </c>
      <c r="U81">
        <f t="shared" si="7"/>
        <v>0.27439009722222224</v>
      </c>
    </row>
    <row r="82" spans="2:21" x14ac:dyDescent="0.3">
      <c r="B82">
        <v>36500</v>
      </c>
      <c r="C82">
        <v>7.3000000000000001E-3</v>
      </c>
      <c r="D82">
        <v>-2.0268193000000001E-3</v>
      </c>
      <c r="E82">
        <v>0</v>
      </c>
      <c r="F82">
        <v>0.99106947000000001</v>
      </c>
      <c r="G82">
        <v>2.4068678000000001</v>
      </c>
      <c r="H82">
        <v>1.2473968</v>
      </c>
      <c r="I82">
        <v>1.0058294000000001</v>
      </c>
      <c r="J82">
        <v>5.8377081000000001E-14</v>
      </c>
      <c r="K82">
        <v>-186546.26</v>
      </c>
      <c r="L82">
        <v>1274.3099</v>
      </c>
      <c r="M82">
        <v>320.04939999999999</v>
      </c>
      <c r="N82">
        <v>75.988696000000004</v>
      </c>
      <c r="O82">
        <v>65.198806000000005</v>
      </c>
      <c r="P82">
        <v>0</v>
      </c>
      <c r="R82">
        <f t="shared" si="6"/>
        <v>1.89017997945</v>
      </c>
      <c r="S82">
        <f t="shared" si="4"/>
        <v>-1.291194506175E-2</v>
      </c>
      <c r="T82">
        <f t="shared" si="5"/>
        <v>-3.2429005454999997E-3</v>
      </c>
      <c r="U82">
        <f t="shared" si="7"/>
        <v>0.27764647945205478</v>
      </c>
    </row>
    <row r="83" spans="2:21" x14ac:dyDescent="0.3">
      <c r="B83">
        <v>37000</v>
      </c>
      <c r="C83">
        <v>7.4000000000000003E-3</v>
      </c>
      <c r="D83">
        <v>-1.9851669999999999E-3</v>
      </c>
      <c r="E83">
        <v>0</v>
      </c>
      <c r="F83">
        <v>0.95184915999999997</v>
      </c>
      <c r="G83">
        <v>2.4717668000000002</v>
      </c>
      <c r="H83">
        <v>1.290923</v>
      </c>
      <c r="I83">
        <v>1.0332825000000001</v>
      </c>
      <c r="J83">
        <v>5.8508531000000001E-14</v>
      </c>
      <c r="K83">
        <v>-189251.72</v>
      </c>
      <c r="L83">
        <v>-951.13139000000001</v>
      </c>
      <c r="M83">
        <v>257.00484</v>
      </c>
      <c r="N83">
        <v>75.99624</v>
      </c>
      <c r="O83">
        <v>65.201526999999999</v>
      </c>
      <c r="P83">
        <v>0</v>
      </c>
      <c r="R83">
        <f t="shared" si="6"/>
        <v>1.9175930529</v>
      </c>
      <c r="S83">
        <f t="shared" si="4"/>
        <v>9.6373388091750001E-3</v>
      </c>
      <c r="T83">
        <f t="shared" si="5"/>
        <v>-2.6041015413000002E-3</v>
      </c>
      <c r="U83">
        <f t="shared" si="7"/>
        <v>0.2682658108108108</v>
      </c>
    </row>
    <row r="84" spans="2:21" x14ac:dyDescent="0.3">
      <c r="B84">
        <v>37500</v>
      </c>
      <c r="C84">
        <v>7.4999999999999997E-3</v>
      </c>
      <c r="D84">
        <v>-1.9935571E-3</v>
      </c>
      <c r="E84">
        <v>0</v>
      </c>
      <c r="F84">
        <v>1.0206985</v>
      </c>
      <c r="G84">
        <v>2.5341783000000002</v>
      </c>
      <c r="H84">
        <v>1.3236726999999999</v>
      </c>
      <c r="I84">
        <v>1.0522708000000001</v>
      </c>
      <c r="J84">
        <v>5.9679372999999997E-14</v>
      </c>
      <c r="K84">
        <v>-191858.61</v>
      </c>
      <c r="L84">
        <v>-1513.6233999999999</v>
      </c>
      <c r="M84">
        <v>-487.3381</v>
      </c>
      <c r="N84">
        <v>76.003783999999996</v>
      </c>
      <c r="O84">
        <v>65.200979000000004</v>
      </c>
      <c r="P84">
        <v>0</v>
      </c>
      <c r="R84">
        <f t="shared" si="6"/>
        <v>1.9440073658249999</v>
      </c>
      <c r="S84">
        <f t="shared" si="4"/>
        <v>1.5336789100499999E-2</v>
      </c>
      <c r="T84">
        <f t="shared" si="5"/>
        <v>4.9379532982500004E-3</v>
      </c>
      <c r="U84">
        <f t="shared" si="7"/>
        <v>0.26580761333333336</v>
      </c>
    </row>
    <row r="85" spans="2:21" x14ac:dyDescent="0.3">
      <c r="B85">
        <v>38000</v>
      </c>
      <c r="C85">
        <v>7.6E-3</v>
      </c>
      <c r="D85">
        <v>-2.1024818000000001E-3</v>
      </c>
      <c r="E85">
        <v>0</v>
      </c>
      <c r="F85">
        <v>0.96485239</v>
      </c>
      <c r="G85">
        <v>2.5887500000000001</v>
      </c>
      <c r="H85">
        <v>1.3509329999999999</v>
      </c>
      <c r="I85">
        <v>1.0882398</v>
      </c>
      <c r="J85">
        <v>5.9446447999999997E-14</v>
      </c>
      <c r="K85">
        <v>-194164.34</v>
      </c>
      <c r="L85">
        <v>1126.5039999999999</v>
      </c>
      <c r="M85">
        <v>-8.1733519000000001</v>
      </c>
      <c r="N85">
        <v>76.011328000000006</v>
      </c>
      <c r="O85">
        <v>65.193861999999996</v>
      </c>
      <c r="P85">
        <v>0</v>
      </c>
      <c r="R85">
        <f t="shared" si="6"/>
        <v>1.9673701750499999</v>
      </c>
      <c r="S85">
        <f t="shared" si="4"/>
        <v>-1.1414301779999999E-2</v>
      </c>
      <c r="T85">
        <f t="shared" si="5"/>
        <v>8.281648812675E-5</v>
      </c>
      <c r="U85">
        <f t="shared" si="7"/>
        <v>0.27664234210526317</v>
      </c>
    </row>
    <row r="86" spans="2:21" x14ac:dyDescent="0.3">
      <c r="B86">
        <v>38500</v>
      </c>
      <c r="C86">
        <v>7.7000000000000002E-3</v>
      </c>
      <c r="D86">
        <v>-2.1284972000000001E-3</v>
      </c>
      <c r="E86">
        <v>0</v>
      </c>
      <c r="F86">
        <v>1.0049779999999999</v>
      </c>
      <c r="G86">
        <v>2.6434432000000001</v>
      </c>
      <c r="H86">
        <v>1.3832153</v>
      </c>
      <c r="I86">
        <v>1.1044301999999999</v>
      </c>
      <c r="J86">
        <v>5.8309579E-14</v>
      </c>
      <c r="K86">
        <v>-196885.11</v>
      </c>
      <c r="L86">
        <v>1298.7180000000001</v>
      </c>
      <c r="M86">
        <v>468.90622000000002</v>
      </c>
      <c r="N86">
        <v>76.018871000000004</v>
      </c>
      <c r="O86">
        <v>65.192162999999994</v>
      </c>
      <c r="P86">
        <v>0</v>
      </c>
      <c r="R86">
        <f t="shared" si="6"/>
        <v>1.9949383770749998</v>
      </c>
      <c r="S86">
        <f t="shared" si="4"/>
        <v>-1.3159260135000002E-2</v>
      </c>
      <c r="T86">
        <f t="shared" si="5"/>
        <v>-4.75119227415E-3</v>
      </c>
      <c r="U86">
        <f t="shared" si="7"/>
        <v>0.27642820779220778</v>
      </c>
    </row>
    <row r="87" spans="2:21" x14ac:dyDescent="0.3">
      <c r="B87">
        <v>39000</v>
      </c>
      <c r="C87">
        <v>7.7999999999999996E-3</v>
      </c>
      <c r="D87">
        <v>-2.0752921999999999E-3</v>
      </c>
      <c r="E87">
        <v>0</v>
      </c>
      <c r="F87">
        <v>1.0035354000000001</v>
      </c>
      <c r="G87">
        <v>2.7104278000000002</v>
      </c>
      <c r="H87">
        <v>1.4384034000000001</v>
      </c>
      <c r="I87">
        <v>1.1164502999999999</v>
      </c>
      <c r="J87">
        <v>6.1880057000000006E-14</v>
      </c>
      <c r="K87">
        <v>-199934.3</v>
      </c>
      <c r="L87">
        <v>-944.96105</v>
      </c>
      <c r="M87">
        <v>-192.27420000000001</v>
      </c>
      <c r="N87">
        <v>76.026415</v>
      </c>
      <c r="O87">
        <v>65.195639</v>
      </c>
      <c r="P87">
        <v>0</v>
      </c>
      <c r="R87">
        <f t="shared" si="6"/>
        <v>2.0258342947500001</v>
      </c>
      <c r="S87">
        <f t="shared" si="4"/>
        <v>9.5748178391249997E-3</v>
      </c>
      <c r="T87">
        <f t="shared" si="5"/>
        <v>1.9482183315E-3</v>
      </c>
      <c r="U87">
        <f t="shared" si="7"/>
        <v>0.26606310256410254</v>
      </c>
    </row>
    <row r="88" spans="2:21" x14ac:dyDescent="0.3">
      <c r="B88">
        <v>39500</v>
      </c>
      <c r="C88">
        <v>7.9000000000000008E-3</v>
      </c>
      <c r="D88">
        <v>-2.1086257000000001E-3</v>
      </c>
      <c r="E88">
        <v>0</v>
      </c>
      <c r="F88">
        <v>0.98122248000000001</v>
      </c>
      <c r="G88">
        <v>2.7785006999999999</v>
      </c>
      <c r="H88">
        <v>1.4767843</v>
      </c>
      <c r="I88">
        <v>1.1496014000000001</v>
      </c>
      <c r="J88">
        <v>5.9490413000000002E-14</v>
      </c>
      <c r="K88">
        <v>-202509.33</v>
      </c>
      <c r="L88">
        <v>-671.81056000000001</v>
      </c>
      <c r="M88">
        <v>-410.05318999999997</v>
      </c>
      <c r="N88">
        <v>76.033958999999996</v>
      </c>
      <c r="O88">
        <v>65.193460999999999</v>
      </c>
      <c r="P88">
        <v>0</v>
      </c>
      <c r="R88">
        <f t="shared" si="6"/>
        <v>2.051925786225</v>
      </c>
      <c r="S88">
        <f t="shared" si="4"/>
        <v>6.8071204991999998E-3</v>
      </c>
      <c r="T88">
        <f t="shared" si="5"/>
        <v>4.1548639476750001E-3</v>
      </c>
      <c r="U88">
        <f t="shared" si="7"/>
        <v>0.26691464556962025</v>
      </c>
    </row>
    <row r="89" spans="2:21" x14ac:dyDescent="0.3">
      <c r="B89">
        <v>40000</v>
      </c>
      <c r="C89">
        <v>8.0000000000000002E-3</v>
      </c>
      <c r="D89">
        <v>-2.1691509000000002E-3</v>
      </c>
      <c r="E89">
        <v>0</v>
      </c>
      <c r="F89">
        <v>0.99867877000000005</v>
      </c>
      <c r="G89">
        <v>2.8366807000000001</v>
      </c>
      <c r="H89">
        <v>1.5014217000000001</v>
      </c>
      <c r="I89">
        <v>1.1804378</v>
      </c>
      <c r="J89">
        <v>6.1097792999999999E-14</v>
      </c>
      <c r="K89">
        <v>-204790.03</v>
      </c>
      <c r="L89">
        <v>247.38683</v>
      </c>
      <c r="M89">
        <v>331.43331000000001</v>
      </c>
      <c r="N89">
        <v>76.041503000000006</v>
      </c>
      <c r="O89">
        <v>65.189507000000006</v>
      </c>
      <c r="P89">
        <v>0</v>
      </c>
      <c r="R89">
        <f t="shared" si="6"/>
        <v>2.0750349789749998</v>
      </c>
      <c r="S89">
        <f t="shared" si="4"/>
        <v>-2.5066470549750001E-3</v>
      </c>
      <c r="T89">
        <f t="shared" si="5"/>
        <v>-3.3582480135749999E-3</v>
      </c>
      <c r="U89">
        <f t="shared" si="7"/>
        <v>0.2711438625</v>
      </c>
    </row>
    <row r="90" spans="2:21" x14ac:dyDescent="0.3">
      <c r="B90">
        <v>40500</v>
      </c>
      <c r="C90">
        <v>8.0999999999999996E-3</v>
      </c>
      <c r="D90">
        <v>-2.2006301999999999E-3</v>
      </c>
      <c r="E90">
        <v>0</v>
      </c>
      <c r="F90">
        <v>0.96739759999999997</v>
      </c>
      <c r="G90">
        <v>2.8930676000000002</v>
      </c>
      <c r="H90">
        <v>1.5301269</v>
      </c>
      <c r="I90">
        <v>1.2129688999999999</v>
      </c>
      <c r="J90">
        <v>5.8077321E-14</v>
      </c>
      <c r="K90">
        <v>-207104.34</v>
      </c>
      <c r="L90">
        <v>178.05437000000001</v>
      </c>
      <c r="M90">
        <v>295.94357000000002</v>
      </c>
      <c r="N90">
        <v>76.049047000000002</v>
      </c>
      <c r="O90">
        <v>65.187449999999998</v>
      </c>
      <c r="P90">
        <v>0</v>
      </c>
      <c r="R90">
        <f t="shared" si="6"/>
        <v>2.0984847250500001</v>
      </c>
      <c r="S90">
        <f t="shared" si="4"/>
        <v>-1.8041359040250002E-3</v>
      </c>
      <c r="T90">
        <f t="shared" si="5"/>
        <v>-2.9986482230250004E-3</v>
      </c>
      <c r="U90">
        <f t="shared" si="7"/>
        <v>0.27168274074074072</v>
      </c>
    </row>
    <row r="91" spans="2:21" x14ac:dyDescent="0.3">
      <c r="B91">
        <v>41000</v>
      </c>
      <c r="C91">
        <v>8.2000000000000007E-3</v>
      </c>
      <c r="D91">
        <v>-2.2202174000000002E-3</v>
      </c>
      <c r="E91">
        <v>0</v>
      </c>
      <c r="F91">
        <v>0.96254251999999996</v>
      </c>
      <c r="G91">
        <v>2.9616760000000002</v>
      </c>
      <c r="H91">
        <v>1.5638105</v>
      </c>
      <c r="I91">
        <v>1.2486463999999999</v>
      </c>
      <c r="J91">
        <v>5.7606364000000005E-14</v>
      </c>
      <c r="K91">
        <v>-209509.75</v>
      </c>
      <c r="L91">
        <v>-209.36006</v>
      </c>
      <c r="M91">
        <v>-388.10919000000001</v>
      </c>
      <c r="N91">
        <v>76.05659</v>
      </c>
      <c r="O91">
        <v>65.186171000000002</v>
      </c>
      <c r="P91">
        <v>0</v>
      </c>
      <c r="R91">
        <f t="shared" si="6"/>
        <v>2.1228575418750002</v>
      </c>
      <c r="S91">
        <f t="shared" si="4"/>
        <v>2.1213408079500001E-3</v>
      </c>
      <c r="T91">
        <f t="shared" si="5"/>
        <v>3.9325163676750003E-3</v>
      </c>
      <c r="U91">
        <f t="shared" si="7"/>
        <v>0.27075821951219514</v>
      </c>
    </row>
    <row r="92" spans="2:21" x14ac:dyDescent="0.3">
      <c r="B92">
        <v>41500</v>
      </c>
      <c r="C92">
        <v>8.3000000000000001E-3</v>
      </c>
      <c r="D92">
        <v>-2.2522956999999999E-3</v>
      </c>
      <c r="E92">
        <v>0</v>
      </c>
      <c r="F92">
        <v>0.99897575999999999</v>
      </c>
      <c r="G92">
        <v>3.0286927000000001</v>
      </c>
      <c r="H92">
        <v>1.5945457999999999</v>
      </c>
      <c r="I92">
        <v>1.2792798000000001</v>
      </c>
      <c r="J92">
        <v>5.9728889000000006E-14</v>
      </c>
      <c r="K92">
        <v>-212009.38</v>
      </c>
      <c r="L92">
        <v>-59.11692</v>
      </c>
      <c r="M92">
        <v>-213.99635000000001</v>
      </c>
      <c r="N92">
        <v>76.064133999999996</v>
      </c>
      <c r="O92">
        <v>65.184075000000007</v>
      </c>
      <c r="P92">
        <v>0</v>
      </c>
      <c r="R92">
        <f t="shared" si="6"/>
        <v>2.1481850428500002</v>
      </c>
      <c r="S92">
        <f t="shared" si="4"/>
        <v>5.9900219189999997E-4</v>
      </c>
      <c r="T92">
        <f t="shared" si="5"/>
        <v>2.1683180163750001E-3</v>
      </c>
      <c r="U92">
        <f t="shared" si="7"/>
        <v>0.27136092771084336</v>
      </c>
    </row>
    <row r="93" spans="2:21" x14ac:dyDescent="0.3">
      <c r="B93">
        <v>42000</v>
      </c>
      <c r="C93">
        <v>8.3999999999999995E-3</v>
      </c>
      <c r="D93">
        <v>-2.2882423999999999E-3</v>
      </c>
      <c r="E93">
        <v>0</v>
      </c>
      <c r="F93">
        <v>1.0725897</v>
      </c>
      <c r="G93">
        <v>3.1090724999999999</v>
      </c>
      <c r="H93">
        <v>1.6358079000000001</v>
      </c>
      <c r="I93">
        <v>1.3069853</v>
      </c>
      <c r="J93">
        <v>5.9491967E-14</v>
      </c>
      <c r="K93">
        <v>-214655.41</v>
      </c>
      <c r="L93">
        <v>400.97701999999998</v>
      </c>
      <c r="M93">
        <v>465.24185</v>
      </c>
      <c r="N93">
        <v>76.071678000000006</v>
      </c>
      <c r="O93">
        <v>65.181725999999998</v>
      </c>
      <c r="P93">
        <v>0</v>
      </c>
      <c r="R93">
        <f t="shared" si="6"/>
        <v>2.1749959418250002</v>
      </c>
      <c r="S93">
        <f t="shared" si="4"/>
        <v>-4.0628996551499994E-3</v>
      </c>
      <c r="T93">
        <f t="shared" si="5"/>
        <v>-4.7140630451250002E-3</v>
      </c>
      <c r="U93">
        <f t="shared" si="7"/>
        <v>0.27240980952380955</v>
      </c>
    </row>
    <row r="94" spans="2:21" x14ac:dyDescent="0.3">
      <c r="B94">
        <v>42500</v>
      </c>
      <c r="C94">
        <v>8.5000000000000006E-3</v>
      </c>
      <c r="D94">
        <v>-2.2939688999999998E-3</v>
      </c>
      <c r="E94">
        <v>0</v>
      </c>
      <c r="F94">
        <v>0.93976548000000004</v>
      </c>
      <c r="G94">
        <v>3.1555211000000001</v>
      </c>
      <c r="H94">
        <v>1.6863714999999999</v>
      </c>
      <c r="I94">
        <v>1.3234615999999999</v>
      </c>
      <c r="J94">
        <v>5.8384186000000003E-14</v>
      </c>
      <c r="K94">
        <v>-217481.68</v>
      </c>
      <c r="L94">
        <v>-13.496936</v>
      </c>
      <c r="M94">
        <v>192.42545000000001</v>
      </c>
      <c r="N94">
        <v>76.079222000000001</v>
      </c>
      <c r="O94">
        <v>65.181352000000004</v>
      </c>
      <c r="P94">
        <v>0</v>
      </c>
      <c r="R94">
        <f t="shared" si="6"/>
        <v>2.2036331225999999</v>
      </c>
      <c r="S94">
        <f t="shared" si="4"/>
        <v>1.3675770402E-4</v>
      </c>
      <c r="T94">
        <f t="shared" si="5"/>
        <v>-1.9497508721250001E-3</v>
      </c>
      <c r="U94">
        <f t="shared" si="7"/>
        <v>0.26987869411764703</v>
      </c>
    </row>
    <row r="95" spans="2:21" x14ac:dyDescent="0.3">
      <c r="B95">
        <v>43000</v>
      </c>
      <c r="C95">
        <v>8.6E-3</v>
      </c>
      <c r="D95">
        <v>-2.2890966999999998E-3</v>
      </c>
      <c r="E95">
        <v>0</v>
      </c>
      <c r="F95">
        <v>0.98136769000000001</v>
      </c>
      <c r="G95">
        <v>3.2279499</v>
      </c>
      <c r="H95">
        <v>1.7280667999999999</v>
      </c>
      <c r="I95">
        <v>1.3477456000000001</v>
      </c>
      <c r="J95">
        <v>5.8081095000000002E-14</v>
      </c>
      <c r="K95">
        <v>-220243.95</v>
      </c>
      <c r="L95">
        <v>-871.54819999999995</v>
      </c>
      <c r="M95">
        <v>-450.92550999999997</v>
      </c>
      <c r="N95">
        <v>76.086765999999997</v>
      </c>
      <c r="O95">
        <v>65.181670999999994</v>
      </c>
      <c r="P95">
        <v>0</v>
      </c>
      <c r="R95">
        <f t="shared" si="6"/>
        <v>2.2316218233750003</v>
      </c>
      <c r="S95">
        <f t="shared" si="4"/>
        <v>8.8309621365E-3</v>
      </c>
      <c r="T95">
        <f t="shared" si="5"/>
        <v>4.5690027300749995E-3</v>
      </c>
      <c r="U95">
        <f t="shared" si="7"/>
        <v>0.26617403488372093</v>
      </c>
    </row>
    <row r="96" spans="2:21" x14ac:dyDescent="0.3">
      <c r="B96">
        <v>43500</v>
      </c>
      <c r="C96">
        <v>8.6999999999999994E-3</v>
      </c>
      <c r="D96">
        <v>-2.3585327999999998E-3</v>
      </c>
      <c r="E96">
        <v>0</v>
      </c>
      <c r="F96">
        <v>0.99255426999999996</v>
      </c>
      <c r="G96">
        <v>3.3003523000000001</v>
      </c>
      <c r="H96">
        <v>1.75787</v>
      </c>
      <c r="I96">
        <v>1.3886106</v>
      </c>
      <c r="J96">
        <v>5.9679594999999995E-14</v>
      </c>
      <c r="K96">
        <v>-222483.31</v>
      </c>
      <c r="L96">
        <v>320.88947000000002</v>
      </c>
      <c r="M96">
        <v>-211.70199</v>
      </c>
      <c r="N96">
        <v>76.094308999999996</v>
      </c>
      <c r="O96">
        <v>65.177133999999995</v>
      </c>
      <c r="P96">
        <v>0</v>
      </c>
      <c r="R96">
        <f t="shared" si="6"/>
        <v>2.254312138575</v>
      </c>
      <c r="S96">
        <f t="shared" si="4"/>
        <v>-3.2514125547750002E-3</v>
      </c>
      <c r="T96">
        <f t="shared" si="5"/>
        <v>2.1450704136749999E-3</v>
      </c>
      <c r="U96">
        <f t="shared" si="7"/>
        <v>0.27109572413793104</v>
      </c>
    </row>
    <row r="97" spans="2:21" x14ac:dyDescent="0.3">
      <c r="B97">
        <v>44000</v>
      </c>
      <c r="C97">
        <v>8.8000000000000005E-3</v>
      </c>
      <c r="D97">
        <v>-2.4239919999999998E-3</v>
      </c>
      <c r="E97">
        <v>0</v>
      </c>
      <c r="F97">
        <v>1.0167244</v>
      </c>
      <c r="G97">
        <v>3.3715023999999998</v>
      </c>
      <c r="H97">
        <v>1.7819062000000001</v>
      </c>
      <c r="I97">
        <v>1.4319774999999999</v>
      </c>
      <c r="J97">
        <v>6.0115912000000004E-14</v>
      </c>
      <c r="K97">
        <v>-224597.34</v>
      </c>
      <c r="L97">
        <v>1235.2312999999999</v>
      </c>
      <c r="M97">
        <v>422.65947999999997</v>
      </c>
      <c r="N97">
        <v>76.101853000000006</v>
      </c>
      <c r="O97">
        <v>65.172858000000005</v>
      </c>
      <c r="P97">
        <v>0</v>
      </c>
      <c r="R97">
        <f t="shared" si="6"/>
        <v>2.2757325475500001</v>
      </c>
      <c r="S97">
        <f t="shared" si="4"/>
        <v>-1.2515981147249999E-2</v>
      </c>
      <c r="T97">
        <f t="shared" si="5"/>
        <v>-4.2825971810999995E-3</v>
      </c>
      <c r="U97">
        <f t="shared" si="7"/>
        <v>0.27545363636363634</v>
      </c>
    </row>
    <row r="98" spans="2:21" x14ac:dyDescent="0.3">
      <c r="B98">
        <v>44500</v>
      </c>
      <c r="C98">
        <v>8.8999999999999999E-3</v>
      </c>
      <c r="D98">
        <v>-2.3804703000000001E-3</v>
      </c>
      <c r="E98">
        <v>0</v>
      </c>
      <c r="F98">
        <v>0.97247046999999998</v>
      </c>
      <c r="G98">
        <v>3.4410140999999999</v>
      </c>
      <c r="H98">
        <v>1.8306370999999999</v>
      </c>
      <c r="I98">
        <v>1.4596188000000001</v>
      </c>
      <c r="J98">
        <v>6.1139094000000004E-14</v>
      </c>
      <c r="K98">
        <v>-227275.21</v>
      </c>
      <c r="L98">
        <v>-1061.7224000000001</v>
      </c>
      <c r="M98">
        <v>248.23846</v>
      </c>
      <c r="N98">
        <v>76.109397000000001</v>
      </c>
      <c r="O98">
        <v>65.175701000000004</v>
      </c>
      <c r="P98">
        <v>0</v>
      </c>
      <c r="R98">
        <f t="shared" si="6"/>
        <v>2.3028660653249999</v>
      </c>
      <c r="S98">
        <f t="shared" si="4"/>
        <v>1.0757902218000001E-2</v>
      </c>
      <c r="T98">
        <f t="shared" si="5"/>
        <v>-2.51527619595E-3</v>
      </c>
      <c r="U98">
        <f t="shared" si="7"/>
        <v>0.26746857303370786</v>
      </c>
    </row>
    <row r="99" spans="2:21" x14ac:dyDescent="0.3">
      <c r="B99">
        <v>45000</v>
      </c>
      <c r="C99">
        <v>8.9999999999999993E-3</v>
      </c>
      <c r="D99">
        <v>-2.4074449000000002E-3</v>
      </c>
      <c r="E99">
        <v>0</v>
      </c>
      <c r="F99">
        <v>0.98594437000000001</v>
      </c>
      <c r="G99">
        <v>3.5032024000000002</v>
      </c>
      <c r="H99">
        <v>1.8690960999999999</v>
      </c>
      <c r="I99">
        <v>1.4812593999999999</v>
      </c>
      <c r="J99">
        <v>5.8698379E-14</v>
      </c>
      <c r="K99">
        <v>-229903.77</v>
      </c>
      <c r="L99">
        <v>-937.63904000000002</v>
      </c>
      <c r="M99">
        <v>-386.56740000000002</v>
      </c>
      <c r="N99">
        <v>76.116940999999997</v>
      </c>
      <c r="O99">
        <v>65.173939000000004</v>
      </c>
      <c r="P99">
        <v>0</v>
      </c>
      <c r="R99">
        <f t="shared" si="6"/>
        <v>2.3294999495249997</v>
      </c>
      <c r="S99">
        <f t="shared" si="4"/>
        <v>9.5006275727999995E-3</v>
      </c>
      <c r="T99">
        <f t="shared" si="5"/>
        <v>3.9168941805000001E-3</v>
      </c>
      <c r="U99">
        <f t="shared" si="7"/>
        <v>0.26749387777777783</v>
      </c>
    </row>
    <row r="100" spans="2:21" x14ac:dyDescent="0.3">
      <c r="B100">
        <v>45500</v>
      </c>
      <c r="C100">
        <v>9.1000000000000004E-3</v>
      </c>
      <c r="D100">
        <v>-2.5113512999999999E-3</v>
      </c>
      <c r="E100">
        <v>0</v>
      </c>
      <c r="F100">
        <v>0.99878376999999996</v>
      </c>
      <c r="G100">
        <v>3.5740789999999998</v>
      </c>
      <c r="H100">
        <v>1.9018151999999999</v>
      </c>
      <c r="I100">
        <v>1.5174264</v>
      </c>
      <c r="J100">
        <v>5.8134830000000002E-14</v>
      </c>
      <c r="K100">
        <v>-232365.14</v>
      </c>
      <c r="L100">
        <v>1699.0968</v>
      </c>
      <c r="M100">
        <v>-310.44950999999998</v>
      </c>
      <c r="N100">
        <v>76.124485000000007</v>
      </c>
      <c r="O100">
        <v>65.167151000000004</v>
      </c>
      <c r="P100">
        <v>0</v>
      </c>
      <c r="R100">
        <f t="shared" si="6"/>
        <v>2.35443978105</v>
      </c>
      <c r="S100">
        <f t="shared" si="4"/>
        <v>-1.7216098326E-2</v>
      </c>
      <c r="T100">
        <f t="shared" si="5"/>
        <v>3.1456296600749999E-3</v>
      </c>
      <c r="U100">
        <f t="shared" si="7"/>
        <v>0.27597267032967032</v>
      </c>
    </row>
    <row r="101" spans="2:21" x14ac:dyDescent="0.3">
      <c r="B101">
        <v>46000</v>
      </c>
      <c r="C101">
        <v>9.1999999999999998E-3</v>
      </c>
      <c r="D101">
        <v>-2.4764672000000001E-3</v>
      </c>
      <c r="E101">
        <v>0</v>
      </c>
      <c r="F101">
        <v>1.0191393</v>
      </c>
      <c r="G101">
        <v>3.6505483999999999</v>
      </c>
      <c r="H101">
        <v>1.9601398000000001</v>
      </c>
      <c r="I101">
        <v>1.5324154000000001</v>
      </c>
      <c r="J101">
        <v>5.9981575000000001E-14</v>
      </c>
      <c r="K101">
        <v>-235313.83</v>
      </c>
      <c r="L101">
        <v>15.09806</v>
      </c>
      <c r="M101">
        <v>305.36498</v>
      </c>
      <c r="N101">
        <v>76.132028000000005</v>
      </c>
      <c r="O101">
        <v>65.169430000000006</v>
      </c>
      <c r="P101">
        <v>0</v>
      </c>
      <c r="R101">
        <f t="shared" si="6"/>
        <v>2.3843173824749999</v>
      </c>
      <c r="S101">
        <f t="shared" si="4"/>
        <v>-1.5298109295E-4</v>
      </c>
      <c r="T101">
        <f t="shared" si="5"/>
        <v>-3.0941106598499999E-3</v>
      </c>
      <c r="U101">
        <f t="shared" si="7"/>
        <v>0.26918121739130435</v>
      </c>
    </row>
    <row r="102" spans="2:21" x14ac:dyDescent="0.3">
      <c r="B102">
        <v>46500</v>
      </c>
      <c r="C102">
        <v>9.2999999999999992E-3</v>
      </c>
      <c r="D102">
        <v>-2.4648608E-3</v>
      </c>
      <c r="E102">
        <v>0</v>
      </c>
      <c r="F102">
        <v>1.0007804</v>
      </c>
      <c r="G102">
        <v>3.7279754000000001</v>
      </c>
      <c r="H102">
        <v>2.0058346</v>
      </c>
      <c r="I102">
        <v>1.5669938000000001</v>
      </c>
      <c r="J102">
        <v>6.0231374999999998E-14</v>
      </c>
      <c r="K102">
        <v>-237865.35</v>
      </c>
      <c r="L102">
        <v>-1293.6990000000001</v>
      </c>
      <c r="M102">
        <v>408.50684000000001</v>
      </c>
      <c r="N102">
        <v>76.139572000000001</v>
      </c>
      <c r="O102">
        <v>65.170187999999996</v>
      </c>
      <c r="P102">
        <v>0</v>
      </c>
      <c r="R102">
        <f t="shared" si="6"/>
        <v>2.4101706588750003</v>
      </c>
      <c r="S102">
        <f t="shared" si="4"/>
        <v>1.3108405117500001E-2</v>
      </c>
      <c r="T102">
        <f t="shared" si="5"/>
        <v>-4.1391955563E-3</v>
      </c>
      <c r="U102">
        <f t="shared" si="7"/>
        <v>0.26503879569892475</v>
      </c>
    </row>
    <row r="103" spans="2:21" x14ac:dyDescent="0.3">
      <c r="B103">
        <v>47000</v>
      </c>
      <c r="C103">
        <v>9.4000000000000004E-3</v>
      </c>
      <c r="D103">
        <v>-2.5584812000000001E-3</v>
      </c>
      <c r="E103">
        <v>0</v>
      </c>
      <c r="F103">
        <v>0.98820622000000002</v>
      </c>
      <c r="G103">
        <v>3.7887382999999999</v>
      </c>
      <c r="H103">
        <v>2.0198448999999998</v>
      </c>
      <c r="I103">
        <v>1.6156957999999999</v>
      </c>
      <c r="J103">
        <v>5.9613647000000004E-14</v>
      </c>
      <c r="K103">
        <v>-239836.37</v>
      </c>
      <c r="L103">
        <v>441.97611999999998</v>
      </c>
      <c r="M103">
        <v>-173.024</v>
      </c>
      <c r="N103">
        <v>76.147115999999997</v>
      </c>
      <c r="O103">
        <v>65.164071000000007</v>
      </c>
      <c r="P103">
        <v>0</v>
      </c>
      <c r="R103">
        <f t="shared" si="6"/>
        <v>2.4301420190249998</v>
      </c>
      <c r="S103">
        <f t="shared" si="4"/>
        <v>-4.4783230359000002E-3</v>
      </c>
      <c r="T103">
        <f t="shared" si="5"/>
        <v>1.75316568E-3</v>
      </c>
      <c r="U103">
        <f t="shared" si="7"/>
        <v>0.27217885106382977</v>
      </c>
    </row>
    <row r="104" spans="2:21" x14ac:dyDescent="0.3">
      <c r="B104">
        <v>47500</v>
      </c>
      <c r="C104">
        <v>9.4999999999999998E-3</v>
      </c>
      <c r="D104">
        <v>-2.5877919999999998E-3</v>
      </c>
      <c r="E104">
        <v>0</v>
      </c>
      <c r="F104">
        <v>1.0565329000000001</v>
      </c>
      <c r="G104">
        <v>3.8616263000000002</v>
      </c>
      <c r="H104">
        <v>2.0502020000000001</v>
      </c>
      <c r="I104">
        <v>1.6476343</v>
      </c>
      <c r="J104">
        <v>5.9352079000000005E-14</v>
      </c>
      <c r="K104">
        <v>-242239.58</v>
      </c>
      <c r="L104">
        <v>405.13204000000002</v>
      </c>
      <c r="M104">
        <v>-472.17948999999999</v>
      </c>
      <c r="N104">
        <v>76.154660000000007</v>
      </c>
      <c r="O104">
        <v>65.162156999999993</v>
      </c>
      <c r="P104">
        <v>0</v>
      </c>
      <c r="R104">
        <f t="shared" si="6"/>
        <v>2.4544925443499999</v>
      </c>
      <c r="S104">
        <f t="shared" si="4"/>
        <v>-4.1050003953000003E-3</v>
      </c>
      <c r="T104">
        <f t="shared" si="5"/>
        <v>4.784358682425E-3</v>
      </c>
      <c r="U104">
        <f t="shared" si="7"/>
        <v>0.27239915789473684</v>
      </c>
    </row>
    <row r="105" spans="2:21" x14ac:dyDescent="0.3">
      <c r="B105">
        <v>48000</v>
      </c>
      <c r="C105">
        <v>9.5999999999999992E-3</v>
      </c>
      <c r="D105">
        <v>-2.5807517999999999E-3</v>
      </c>
      <c r="E105">
        <v>0</v>
      </c>
      <c r="F105">
        <v>0.94003614999999996</v>
      </c>
      <c r="G105">
        <v>3.9348453000000001</v>
      </c>
      <c r="H105">
        <v>2.1157265999999999</v>
      </c>
      <c r="I105">
        <v>1.6733886</v>
      </c>
      <c r="J105">
        <v>6.1072479999999994E-14</v>
      </c>
      <c r="K105">
        <v>-245100.33</v>
      </c>
      <c r="L105">
        <v>-395.58184</v>
      </c>
      <c r="M105">
        <v>-34.675288999999999</v>
      </c>
      <c r="N105">
        <v>76.162204000000003</v>
      </c>
      <c r="O105">
        <v>65.162616</v>
      </c>
      <c r="P105">
        <v>0</v>
      </c>
      <c r="R105">
        <f t="shared" si="6"/>
        <v>2.4834790937249998</v>
      </c>
      <c r="S105">
        <f t="shared" si="4"/>
        <v>4.0082329938000002E-3</v>
      </c>
      <c r="T105">
        <f t="shared" si="5"/>
        <v>3.5134736579249998E-4</v>
      </c>
      <c r="U105">
        <f t="shared" si="7"/>
        <v>0.2688283125</v>
      </c>
    </row>
    <row r="106" spans="2:21" x14ac:dyDescent="0.3">
      <c r="B106">
        <v>48500</v>
      </c>
      <c r="C106">
        <v>9.7000000000000003E-3</v>
      </c>
      <c r="D106">
        <v>-2.6083746999999999E-3</v>
      </c>
      <c r="E106">
        <v>0</v>
      </c>
      <c r="F106">
        <v>0.96821013</v>
      </c>
      <c r="G106">
        <v>4.0177394</v>
      </c>
      <c r="H106">
        <v>2.1677531000000001</v>
      </c>
      <c r="I106">
        <v>1.6998886</v>
      </c>
      <c r="J106">
        <v>6.1001204000000003E-14</v>
      </c>
      <c r="K106">
        <v>-247886.32</v>
      </c>
      <c r="L106">
        <v>-66.118307000000001</v>
      </c>
      <c r="M106">
        <v>442.07357000000002</v>
      </c>
      <c r="N106">
        <v>76.169747000000001</v>
      </c>
      <c r="O106">
        <v>65.160812000000007</v>
      </c>
      <c r="P106">
        <v>0</v>
      </c>
      <c r="R106">
        <f t="shared" si="6"/>
        <v>2.5117081373999999</v>
      </c>
      <c r="S106">
        <f t="shared" si="4"/>
        <v>6.6994374567749999E-4</v>
      </c>
      <c r="T106">
        <f t="shared" si="5"/>
        <v>-4.4793104480250001E-3</v>
      </c>
      <c r="U106">
        <f t="shared" si="7"/>
        <v>0.26890460824742268</v>
      </c>
    </row>
    <row r="107" spans="2:21" x14ac:dyDescent="0.3">
      <c r="B107">
        <v>49000</v>
      </c>
      <c r="C107">
        <v>9.7999999999999997E-3</v>
      </c>
      <c r="D107">
        <v>-2.6493558000000002E-3</v>
      </c>
      <c r="E107">
        <v>0</v>
      </c>
      <c r="F107">
        <v>1.0017111000000001</v>
      </c>
      <c r="G107">
        <v>4.093216</v>
      </c>
      <c r="H107">
        <v>2.2046443</v>
      </c>
      <c r="I107">
        <v>1.7332805</v>
      </c>
      <c r="J107">
        <v>5.9544591000000004E-14</v>
      </c>
      <c r="K107">
        <v>-250359.14</v>
      </c>
      <c r="L107">
        <v>385.98226</v>
      </c>
      <c r="M107">
        <v>269.47435000000002</v>
      </c>
      <c r="N107">
        <v>76.177290999999997</v>
      </c>
      <c r="O107">
        <v>65.158135000000001</v>
      </c>
      <c r="P107">
        <v>0</v>
      </c>
      <c r="R107">
        <f t="shared" si="6"/>
        <v>2.53676398605</v>
      </c>
      <c r="S107">
        <f t="shared" si="4"/>
        <v>-3.9109652494500003E-3</v>
      </c>
      <c r="T107">
        <f t="shared" si="5"/>
        <v>-2.7304488513750003E-3</v>
      </c>
      <c r="U107">
        <f t="shared" si="7"/>
        <v>0.27034242857142859</v>
      </c>
    </row>
    <row r="108" spans="2:21" x14ac:dyDescent="0.3">
      <c r="B108">
        <v>49500</v>
      </c>
      <c r="C108">
        <v>9.9000000000000008E-3</v>
      </c>
      <c r="D108">
        <v>-2.6620045000000001E-3</v>
      </c>
      <c r="E108">
        <v>0</v>
      </c>
      <c r="F108">
        <v>0.97434684000000005</v>
      </c>
      <c r="G108">
        <v>4.1625338000000003</v>
      </c>
      <c r="H108">
        <v>2.2378814</v>
      </c>
      <c r="I108">
        <v>1.7736033</v>
      </c>
      <c r="J108">
        <v>5.8777871000000001E-14</v>
      </c>
      <c r="K108">
        <v>-252652.14</v>
      </c>
      <c r="L108">
        <v>-356.45188999999999</v>
      </c>
      <c r="M108">
        <v>-283.70267000000001</v>
      </c>
      <c r="N108">
        <v>76.184835000000007</v>
      </c>
      <c r="O108">
        <v>65.157308</v>
      </c>
      <c r="P108">
        <v>0</v>
      </c>
      <c r="R108">
        <f t="shared" si="6"/>
        <v>2.5599978085499999</v>
      </c>
      <c r="S108">
        <f t="shared" si="4"/>
        <v>3.6117487754249999E-3</v>
      </c>
      <c r="T108">
        <f t="shared" si="5"/>
        <v>2.8746173037750003E-3</v>
      </c>
      <c r="U108">
        <f t="shared" si="7"/>
        <v>0.2688893434343434</v>
      </c>
    </row>
    <row r="109" spans="2:21" x14ac:dyDescent="0.3">
      <c r="B109">
        <v>50000</v>
      </c>
      <c r="C109">
        <v>0.01</v>
      </c>
      <c r="D109">
        <v>-2.6976546000000001E-3</v>
      </c>
      <c r="E109">
        <v>0</v>
      </c>
      <c r="F109">
        <v>0.97204489999999999</v>
      </c>
      <c r="G109">
        <v>4.2440192000000003</v>
      </c>
      <c r="H109">
        <v>2.2752401999999998</v>
      </c>
      <c r="I109">
        <v>1.8180867999999999</v>
      </c>
      <c r="J109">
        <v>6.0279336999999996E-14</v>
      </c>
      <c r="K109">
        <v>-254934.94</v>
      </c>
      <c r="L109">
        <v>-293.62961999999999</v>
      </c>
      <c r="M109">
        <v>-456.82193999999998</v>
      </c>
      <c r="N109">
        <v>76.192379000000003</v>
      </c>
      <c r="O109">
        <v>65.154978999999997</v>
      </c>
      <c r="P109">
        <v>0</v>
      </c>
      <c r="R109">
        <f t="shared" si="6"/>
        <v>2.5831282795499999</v>
      </c>
      <c r="S109">
        <f t="shared" si="4"/>
        <v>2.9752021246499997E-3</v>
      </c>
      <c r="T109">
        <f t="shared" si="5"/>
        <v>4.6287483070500002E-3</v>
      </c>
      <c r="U109">
        <f t="shared" si="7"/>
        <v>0.26976546000000001</v>
      </c>
    </row>
    <row r="110" spans="2:21" x14ac:dyDescent="0.3">
      <c r="B110">
        <v>50500</v>
      </c>
      <c r="C110">
        <v>1.01E-2</v>
      </c>
      <c r="D110">
        <v>-2.7684463E-3</v>
      </c>
      <c r="E110">
        <v>0</v>
      </c>
      <c r="F110">
        <v>0.98299183000000001</v>
      </c>
      <c r="G110">
        <v>4.3219833000000003</v>
      </c>
      <c r="H110">
        <v>2.3158948000000001</v>
      </c>
      <c r="I110">
        <v>1.8536992000000001</v>
      </c>
      <c r="J110">
        <v>5.7556182000000002E-14</v>
      </c>
      <c r="K110">
        <v>-257459.06</v>
      </c>
      <c r="L110">
        <v>1259.1125999999999</v>
      </c>
      <c r="M110">
        <v>-23.305586999999999</v>
      </c>
      <c r="N110">
        <v>76.199922999999998</v>
      </c>
      <c r="O110">
        <v>65.150353999999993</v>
      </c>
      <c r="P110">
        <v>0</v>
      </c>
      <c r="R110">
        <f t="shared" si="6"/>
        <v>2.60870392545</v>
      </c>
      <c r="S110">
        <f t="shared" si="4"/>
        <v>-1.2757958419499999E-2</v>
      </c>
      <c r="T110">
        <f t="shared" si="5"/>
        <v>2.361438602775E-4</v>
      </c>
      <c r="U110">
        <f t="shared" si="7"/>
        <v>0.27410359405940593</v>
      </c>
    </row>
    <row r="111" spans="2:21" x14ac:dyDescent="0.3">
      <c r="B111">
        <v>51000</v>
      </c>
      <c r="C111">
        <v>1.0200000000000001E-2</v>
      </c>
      <c r="D111">
        <v>-2.7228905000000001E-3</v>
      </c>
      <c r="E111">
        <v>0</v>
      </c>
      <c r="F111">
        <v>0.99499397999999994</v>
      </c>
      <c r="G111">
        <v>4.4093109999999998</v>
      </c>
      <c r="H111">
        <v>2.3865338</v>
      </c>
      <c r="I111">
        <v>1.8685273</v>
      </c>
      <c r="J111">
        <v>6.1793458999999997E-14</v>
      </c>
      <c r="K111">
        <v>-260554.26</v>
      </c>
      <c r="L111">
        <v>-622.68547999999998</v>
      </c>
      <c r="M111">
        <v>443.37401</v>
      </c>
      <c r="N111">
        <v>76.207465999999997</v>
      </c>
      <c r="O111">
        <v>65.153329999999997</v>
      </c>
      <c r="P111">
        <v>0</v>
      </c>
      <c r="R111">
        <f t="shared" si="6"/>
        <v>2.6400660394500002</v>
      </c>
      <c r="S111">
        <f t="shared" si="4"/>
        <v>6.3093606260999999E-3</v>
      </c>
      <c r="T111">
        <f t="shared" si="5"/>
        <v>-4.4924871563249997E-3</v>
      </c>
      <c r="U111">
        <f t="shared" si="7"/>
        <v>0.26695004901960784</v>
      </c>
    </row>
    <row r="112" spans="2:21" x14ac:dyDescent="0.3">
      <c r="B112">
        <v>51500</v>
      </c>
      <c r="C112">
        <v>1.03E-2</v>
      </c>
      <c r="D112">
        <v>-2.7318123999999998E-3</v>
      </c>
      <c r="E112">
        <v>0</v>
      </c>
      <c r="F112">
        <v>1.0633642000000001</v>
      </c>
      <c r="G112">
        <v>4.4912162000000002</v>
      </c>
      <c r="H112">
        <v>2.4317758</v>
      </c>
      <c r="I112">
        <v>1.8945913000000001</v>
      </c>
      <c r="J112">
        <v>5.9604321000000004E-14</v>
      </c>
      <c r="K112">
        <v>-263135.71999999997</v>
      </c>
      <c r="L112">
        <v>-1157.4846</v>
      </c>
      <c r="M112">
        <v>365.35081000000002</v>
      </c>
      <c r="N112">
        <v>76.215010000000007</v>
      </c>
      <c r="O112">
        <v>65.152748000000003</v>
      </c>
      <c r="P112">
        <v>0</v>
      </c>
      <c r="R112">
        <f t="shared" si="6"/>
        <v>2.6662226828999995</v>
      </c>
      <c r="S112">
        <f t="shared" si="4"/>
        <v>1.17282127095E-2</v>
      </c>
      <c r="T112">
        <f t="shared" si="5"/>
        <v>-3.7019170823250004E-3</v>
      </c>
      <c r="U112">
        <f t="shared" si="7"/>
        <v>0.26522450485436894</v>
      </c>
    </row>
    <row r="113" spans="2:21" x14ac:dyDescent="0.3">
      <c r="B113">
        <v>52000</v>
      </c>
      <c r="C113">
        <v>1.04E-2</v>
      </c>
      <c r="D113">
        <v>-2.86119E-3</v>
      </c>
      <c r="E113">
        <v>0</v>
      </c>
      <c r="F113">
        <v>0.98838577999999999</v>
      </c>
      <c r="G113">
        <v>4.5674146999999996</v>
      </c>
      <c r="H113">
        <v>2.4477597000000002</v>
      </c>
      <c r="I113">
        <v>1.9664295000000001</v>
      </c>
      <c r="J113">
        <v>6.0117021999999994E-14</v>
      </c>
      <c r="K113">
        <v>-264901.28999999998</v>
      </c>
      <c r="L113">
        <v>1603.0107</v>
      </c>
      <c r="M113">
        <v>-142.04463000000001</v>
      </c>
      <c r="N113">
        <v>76.222554000000002</v>
      </c>
      <c r="O113">
        <v>65.144295</v>
      </c>
      <c r="P113">
        <v>0</v>
      </c>
      <c r="R113">
        <f t="shared" si="6"/>
        <v>2.6841123209249997</v>
      </c>
      <c r="S113">
        <f t="shared" si="4"/>
        <v>-1.6242505917750002E-2</v>
      </c>
      <c r="T113">
        <f t="shared" si="5"/>
        <v>1.4392672134750002E-3</v>
      </c>
      <c r="U113">
        <f t="shared" si="7"/>
        <v>0.27511442307692308</v>
      </c>
    </row>
    <row r="114" spans="2:21" x14ac:dyDescent="0.3">
      <c r="B114">
        <v>52500</v>
      </c>
      <c r="C114">
        <v>1.0500000000000001E-2</v>
      </c>
      <c r="D114">
        <v>-2.8301829E-3</v>
      </c>
      <c r="E114">
        <v>0</v>
      </c>
      <c r="F114">
        <v>0.99645952000000004</v>
      </c>
      <c r="G114">
        <v>4.6510287999999997</v>
      </c>
      <c r="H114">
        <v>2.5024848999999998</v>
      </c>
      <c r="I114">
        <v>1.9940667999999999</v>
      </c>
      <c r="J114">
        <v>5.9715122000000004E-14</v>
      </c>
      <c r="K114">
        <v>-267574.90999999997</v>
      </c>
      <c r="L114">
        <v>-229.64013</v>
      </c>
      <c r="M114">
        <v>-476.24666000000002</v>
      </c>
      <c r="N114">
        <v>76.230097999999998</v>
      </c>
      <c r="O114">
        <v>65.146321</v>
      </c>
      <c r="P114">
        <v>0</v>
      </c>
      <c r="R114">
        <f t="shared" si="6"/>
        <v>2.7112027755749999</v>
      </c>
      <c r="S114">
        <f t="shared" si="4"/>
        <v>2.3268286172249998E-3</v>
      </c>
      <c r="T114">
        <f t="shared" si="5"/>
        <v>4.8255692824500001E-3</v>
      </c>
      <c r="U114">
        <f t="shared" si="7"/>
        <v>0.26954122857142854</v>
      </c>
    </row>
    <row r="115" spans="2:21" x14ac:dyDescent="0.3">
      <c r="B115">
        <v>53000</v>
      </c>
      <c r="C115">
        <v>1.06E-2</v>
      </c>
      <c r="D115">
        <v>-2.8151167000000001E-3</v>
      </c>
      <c r="E115">
        <v>0</v>
      </c>
      <c r="F115">
        <v>1.0282983000000001</v>
      </c>
      <c r="G115">
        <v>4.7378586</v>
      </c>
      <c r="H115">
        <v>2.5714891999999998</v>
      </c>
      <c r="I115">
        <v>2.0069564</v>
      </c>
      <c r="J115">
        <v>6.2003513000000006E-14</v>
      </c>
      <c r="K115">
        <v>-270561.2</v>
      </c>
      <c r="L115">
        <v>-1145.876</v>
      </c>
      <c r="M115">
        <v>-293.59552000000002</v>
      </c>
      <c r="N115">
        <v>76.237641999999994</v>
      </c>
      <c r="O115">
        <v>65.147305000000003</v>
      </c>
      <c r="P115">
        <v>0</v>
      </c>
      <c r="R115">
        <f t="shared" si="6"/>
        <v>2.7414613590000001</v>
      </c>
      <c r="S115">
        <f t="shared" si="4"/>
        <v>1.161058857E-2</v>
      </c>
      <c r="T115">
        <f t="shared" si="5"/>
        <v>2.9748566064000002E-3</v>
      </c>
      <c r="U115">
        <f t="shared" si="7"/>
        <v>0.26557704716981134</v>
      </c>
    </row>
    <row r="116" spans="2:21" x14ac:dyDescent="0.3">
      <c r="B116">
        <v>53500</v>
      </c>
      <c r="C116">
        <v>1.0699999999999999E-2</v>
      </c>
      <c r="D116">
        <v>-2.9099729000000001E-3</v>
      </c>
      <c r="E116">
        <v>0</v>
      </c>
      <c r="F116">
        <v>1.0188775999999999</v>
      </c>
      <c r="G116">
        <v>4.8153341999999997</v>
      </c>
      <c r="H116">
        <v>2.6050230000000001</v>
      </c>
      <c r="I116">
        <v>2.0523587000000001</v>
      </c>
      <c r="J116">
        <v>6.0998318000000005E-14</v>
      </c>
      <c r="K116">
        <v>-272977.8</v>
      </c>
      <c r="L116">
        <v>1118.6842999999999</v>
      </c>
      <c r="M116">
        <v>185.78738999999999</v>
      </c>
      <c r="N116">
        <v>76.245185000000006</v>
      </c>
      <c r="O116">
        <v>65.141108000000003</v>
      </c>
      <c r="P116">
        <v>0</v>
      </c>
      <c r="R116">
        <f t="shared" si="6"/>
        <v>2.7659475584999997</v>
      </c>
      <c r="S116">
        <f t="shared" si="4"/>
        <v>-1.1335068669749999E-2</v>
      </c>
      <c r="T116">
        <f t="shared" si="5"/>
        <v>-1.8824907291749998E-3</v>
      </c>
      <c r="U116">
        <f t="shared" si="7"/>
        <v>0.27196008411214956</v>
      </c>
    </row>
    <row r="117" spans="2:21" x14ac:dyDescent="0.3">
      <c r="B117">
        <v>54000</v>
      </c>
      <c r="C117">
        <v>1.0800000000000001E-2</v>
      </c>
      <c r="D117">
        <v>-2.9037587E-3</v>
      </c>
      <c r="E117">
        <v>0</v>
      </c>
      <c r="F117">
        <v>0.97308848000000003</v>
      </c>
      <c r="G117">
        <v>4.8956230999999999</v>
      </c>
      <c r="H117">
        <v>2.6514310000000001</v>
      </c>
      <c r="I117">
        <v>2.0933381</v>
      </c>
      <c r="J117">
        <v>5.8544281000000001E-14</v>
      </c>
      <c r="K117">
        <v>-275393.59000000003</v>
      </c>
      <c r="L117">
        <v>-133.75325000000001</v>
      </c>
      <c r="M117">
        <v>460.54088999999999</v>
      </c>
      <c r="N117">
        <v>76.252729000000002</v>
      </c>
      <c r="O117">
        <v>65.141514000000001</v>
      </c>
      <c r="P117">
        <v>0</v>
      </c>
      <c r="R117">
        <f t="shared" si="6"/>
        <v>2.7904255506750002</v>
      </c>
      <c r="S117">
        <f t="shared" si="4"/>
        <v>1.3552548056250001E-3</v>
      </c>
      <c r="T117">
        <f t="shared" si="5"/>
        <v>-4.6664305679249996E-3</v>
      </c>
      <c r="U117">
        <f t="shared" si="7"/>
        <v>0.2688665462962963</v>
      </c>
    </row>
    <row r="118" spans="2:21" x14ac:dyDescent="0.3">
      <c r="B118">
        <v>54500</v>
      </c>
      <c r="C118">
        <v>1.09E-2</v>
      </c>
      <c r="D118">
        <v>-2.9241754999999999E-3</v>
      </c>
      <c r="E118">
        <v>0</v>
      </c>
      <c r="F118">
        <v>1.0502545999999999</v>
      </c>
      <c r="G118">
        <v>4.9845848999999998</v>
      </c>
      <c r="H118">
        <v>2.6834467000000002</v>
      </c>
      <c r="I118">
        <v>2.1383214000000001</v>
      </c>
      <c r="J118">
        <v>5.9673821E-14</v>
      </c>
      <c r="K118">
        <v>-277672.3</v>
      </c>
      <c r="L118">
        <v>-609.52454999999998</v>
      </c>
      <c r="M118">
        <v>283.61147</v>
      </c>
      <c r="N118">
        <v>76.260272999999998</v>
      </c>
      <c r="O118">
        <v>65.140180000000001</v>
      </c>
      <c r="P118">
        <v>0</v>
      </c>
      <c r="R118">
        <f t="shared" si="6"/>
        <v>2.8135145797500001</v>
      </c>
      <c r="S118">
        <f t="shared" si="4"/>
        <v>6.1760075028750002E-3</v>
      </c>
      <c r="T118">
        <f t="shared" si="5"/>
        <v>-2.8736932197749999E-3</v>
      </c>
      <c r="U118">
        <f t="shared" si="7"/>
        <v>0.26827298165137614</v>
      </c>
    </row>
    <row r="119" spans="2:21" x14ac:dyDescent="0.3">
      <c r="B119">
        <v>55000</v>
      </c>
      <c r="C119">
        <v>1.0999999999999999E-2</v>
      </c>
      <c r="D119">
        <v>-2.9827285000000002E-3</v>
      </c>
      <c r="E119">
        <v>0</v>
      </c>
      <c r="F119">
        <v>0.97891463000000001</v>
      </c>
      <c r="G119">
        <v>5.0706236999999996</v>
      </c>
      <c r="H119">
        <v>2.7415329000000002</v>
      </c>
      <c r="I119">
        <v>2.1773335</v>
      </c>
      <c r="J119">
        <v>5.9843019000000006E-14</v>
      </c>
      <c r="K119">
        <v>-280260.96999999997</v>
      </c>
      <c r="L119">
        <v>604.78868</v>
      </c>
      <c r="M119">
        <v>-168.18084999999999</v>
      </c>
      <c r="N119">
        <v>76.267816999999994</v>
      </c>
      <c r="O119">
        <v>65.136354999999995</v>
      </c>
      <c r="P119">
        <v>0</v>
      </c>
      <c r="R119">
        <f t="shared" si="6"/>
        <v>2.8397442785249996</v>
      </c>
      <c r="S119">
        <f t="shared" si="4"/>
        <v>-6.1280213001000004E-3</v>
      </c>
      <c r="T119">
        <f t="shared" si="5"/>
        <v>1.7040924626249999E-3</v>
      </c>
      <c r="U119">
        <f t="shared" si="7"/>
        <v>0.27115713636363642</v>
      </c>
    </row>
    <row r="120" spans="2:21" x14ac:dyDescent="0.3">
      <c r="B120">
        <v>55500</v>
      </c>
      <c r="C120">
        <v>1.11E-2</v>
      </c>
      <c r="D120">
        <v>-2.9743870000000002E-3</v>
      </c>
      <c r="E120">
        <v>0</v>
      </c>
      <c r="F120">
        <v>1.0010288000000001</v>
      </c>
      <c r="G120">
        <v>5.1555616999999998</v>
      </c>
      <c r="H120">
        <v>2.8056190999999999</v>
      </c>
      <c r="I120">
        <v>2.1947570999999999</v>
      </c>
      <c r="J120">
        <v>6.1803006999999994E-14</v>
      </c>
      <c r="K120">
        <v>-283187</v>
      </c>
      <c r="L120">
        <v>-148.85299000000001</v>
      </c>
      <c r="M120">
        <v>-457.88310999999999</v>
      </c>
      <c r="N120">
        <v>76.275361000000004</v>
      </c>
      <c r="O120">
        <v>65.136899999999997</v>
      </c>
      <c r="P120">
        <v>0</v>
      </c>
      <c r="R120">
        <f t="shared" si="6"/>
        <v>2.8693922774999998</v>
      </c>
      <c r="S120">
        <f t="shared" si="4"/>
        <v>1.5082529211750001E-3</v>
      </c>
      <c r="T120">
        <f t="shared" si="5"/>
        <v>4.6395006120749996E-3</v>
      </c>
      <c r="U120">
        <f t="shared" si="7"/>
        <v>0.26796279279279278</v>
      </c>
    </row>
    <row r="121" spans="2:21" x14ac:dyDescent="0.3">
      <c r="B121">
        <v>56000</v>
      </c>
      <c r="C121">
        <v>1.12E-2</v>
      </c>
      <c r="D121">
        <v>-3.0033975999999999E-3</v>
      </c>
      <c r="E121">
        <v>0</v>
      </c>
      <c r="F121">
        <v>1.0189177</v>
      </c>
      <c r="G121">
        <v>5.2386359999999996</v>
      </c>
      <c r="H121">
        <v>2.8422524999999998</v>
      </c>
      <c r="I121">
        <v>2.2384248000000002</v>
      </c>
      <c r="J121">
        <v>5.9694250000000001E-14</v>
      </c>
      <c r="K121">
        <v>-285516.27</v>
      </c>
      <c r="L121">
        <v>-265.13785000000001</v>
      </c>
      <c r="M121">
        <v>-346.99934000000002</v>
      </c>
      <c r="N121">
        <v>76.282904000000002</v>
      </c>
      <c r="O121">
        <v>65.135005000000007</v>
      </c>
      <c r="P121">
        <v>0</v>
      </c>
      <c r="R121">
        <f t="shared" si="6"/>
        <v>2.8929936057750001</v>
      </c>
      <c r="S121">
        <f t="shared" si="4"/>
        <v>2.6865092651250002E-3</v>
      </c>
      <c r="T121">
        <f t="shared" si="5"/>
        <v>3.5159708125500001E-3</v>
      </c>
      <c r="U121">
        <f t="shared" si="7"/>
        <v>0.26816049999999997</v>
      </c>
    </row>
    <row r="122" spans="2:21" x14ac:dyDescent="0.3">
      <c r="B122">
        <v>56500</v>
      </c>
      <c r="C122">
        <v>1.1299999999999999E-2</v>
      </c>
      <c r="D122">
        <v>-3.0596081000000002E-3</v>
      </c>
      <c r="E122">
        <v>0</v>
      </c>
      <c r="F122">
        <v>0.96470193999999998</v>
      </c>
      <c r="G122">
        <v>5.3320467999999996</v>
      </c>
      <c r="H122">
        <v>2.8831994999999999</v>
      </c>
      <c r="I122">
        <v>2.2992935000000001</v>
      </c>
      <c r="J122">
        <v>6.0760063999999999E-14</v>
      </c>
      <c r="K122">
        <v>-287639.27</v>
      </c>
      <c r="L122">
        <v>348.18583000000001</v>
      </c>
      <c r="M122">
        <v>33.566487000000002</v>
      </c>
      <c r="N122">
        <v>76.290447999999998</v>
      </c>
      <c r="O122">
        <v>65.131332</v>
      </c>
      <c r="P122">
        <v>0</v>
      </c>
      <c r="R122">
        <f t="shared" si="6"/>
        <v>2.9145049032750001</v>
      </c>
      <c r="S122">
        <f t="shared" si="4"/>
        <v>-3.5279929224750002E-3</v>
      </c>
      <c r="T122">
        <f t="shared" si="5"/>
        <v>-3.4011242952750005E-4</v>
      </c>
      <c r="U122">
        <f t="shared" si="7"/>
        <v>0.270761778761062</v>
      </c>
    </row>
    <row r="123" spans="2:21" x14ac:dyDescent="0.3">
      <c r="B123">
        <v>57000</v>
      </c>
      <c r="C123">
        <v>1.14E-2</v>
      </c>
      <c r="D123">
        <v>-3.0641551999999999E-3</v>
      </c>
      <c r="E123">
        <v>0</v>
      </c>
      <c r="F123">
        <v>1.0574435</v>
      </c>
      <c r="G123">
        <v>5.4253409000000001</v>
      </c>
      <c r="H123">
        <v>2.9408896000000002</v>
      </c>
      <c r="I123">
        <v>2.3205201</v>
      </c>
      <c r="J123">
        <v>5.9097615999999996E-14</v>
      </c>
      <c r="K123">
        <v>-290427.32</v>
      </c>
      <c r="L123">
        <v>-95.434917999999996</v>
      </c>
      <c r="M123">
        <v>401.96633000000003</v>
      </c>
      <c r="N123">
        <v>76.297991999999994</v>
      </c>
      <c r="O123">
        <v>65.131034999999997</v>
      </c>
      <c r="P123">
        <v>0</v>
      </c>
      <c r="R123">
        <f t="shared" si="6"/>
        <v>2.9427548199000002</v>
      </c>
      <c r="S123">
        <f t="shared" si="4"/>
        <v>9.6699430663499994E-4</v>
      </c>
      <c r="T123">
        <f t="shared" si="5"/>
        <v>-4.072923838725E-3</v>
      </c>
      <c r="U123">
        <f t="shared" si="7"/>
        <v>0.26878554385964909</v>
      </c>
    </row>
    <row r="124" spans="2:21" x14ac:dyDescent="0.3">
      <c r="B124">
        <v>57500</v>
      </c>
      <c r="C124">
        <v>1.15E-2</v>
      </c>
      <c r="D124">
        <v>-3.0779625999999998E-3</v>
      </c>
      <c r="E124">
        <v>0</v>
      </c>
      <c r="F124">
        <v>1.0020392</v>
      </c>
      <c r="G124">
        <v>5.5102168999999996</v>
      </c>
      <c r="H124">
        <v>3.0075322</v>
      </c>
      <c r="I124">
        <v>2.3473424999999999</v>
      </c>
      <c r="J124">
        <v>5.7700510999999999E-14</v>
      </c>
      <c r="K124">
        <v>-293259.64</v>
      </c>
      <c r="L124">
        <v>-177.07597999999999</v>
      </c>
      <c r="M124">
        <v>469.17018000000002</v>
      </c>
      <c r="N124">
        <v>76.305536000000004</v>
      </c>
      <c r="O124">
        <v>65.130133000000001</v>
      </c>
      <c r="P124">
        <v>0</v>
      </c>
      <c r="R124">
        <f t="shared" si="6"/>
        <v>2.9714533023</v>
      </c>
      <c r="S124">
        <f t="shared" si="4"/>
        <v>1.7942223673499999E-3</v>
      </c>
      <c r="T124">
        <f t="shared" si="5"/>
        <v>-4.7538668488500005E-3</v>
      </c>
      <c r="U124">
        <f t="shared" si="7"/>
        <v>0.26764892173913041</v>
      </c>
    </row>
    <row r="125" spans="2:21" x14ac:dyDescent="0.3">
      <c r="B125">
        <v>58000</v>
      </c>
      <c r="C125">
        <v>1.1599999999999999E-2</v>
      </c>
      <c r="D125">
        <v>-3.1251342E-3</v>
      </c>
      <c r="E125">
        <v>0</v>
      </c>
      <c r="F125">
        <v>0.97139982000000002</v>
      </c>
      <c r="G125">
        <v>5.5976998</v>
      </c>
      <c r="H125">
        <v>3.0475679000000002</v>
      </c>
      <c r="I125">
        <v>2.3995397000000001</v>
      </c>
      <c r="J125">
        <v>6.0774274999999997E-14</v>
      </c>
      <c r="K125">
        <v>-295456.15000000002</v>
      </c>
      <c r="L125">
        <v>205.64241999999999</v>
      </c>
      <c r="M125">
        <v>218.46120999999999</v>
      </c>
      <c r="N125">
        <v>76.313079999999999</v>
      </c>
      <c r="O125">
        <v>65.127050999999994</v>
      </c>
      <c r="P125">
        <v>0</v>
      </c>
      <c r="R125">
        <f t="shared" si="6"/>
        <v>2.9937094398750004</v>
      </c>
      <c r="S125">
        <f t="shared" si="4"/>
        <v>-2.0836718206499998E-3</v>
      </c>
      <c r="T125">
        <f t="shared" si="5"/>
        <v>-2.2135582103250001E-3</v>
      </c>
      <c r="U125">
        <f t="shared" si="7"/>
        <v>0.26940812068965519</v>
      </c>
    </row>
    <row r="126" spans="2:21" x14ac:dyDescent="0.3">
      <c r="B126">
        <v>58500</v>
      </c>
      <c r="C126">
        <v>1.17E-2</v>
      </c>
      <c r="D126">
        <v>-3.1505629999999999E-3</v>
      </c>
      <c r="E126">
        <v>0</v>
      </c>
      <c r="F126">
        <v>1.0529428999999999</v>
      </c>
      <c r="G126">
        <v>5.6950212999999996</v>
      </c>
      <c r="H126">
        <v>3.0812149999999998</v>
      </c>
      <c r="I126">
        <v>2.4505726999999999</v>
      </c>
      <c r="J126">
        <v>6.1559646000000005E-14</v>
      </c>
      <c r="K126">
        <v>-297746.09999999998</v>
      </c>
      <c r="L126">
        <v>-81.717172000000005</v>
      </c>
      <c r="M126">
        <v>-170.26889</v>
      </c>
      <c r="N126">
        <v>76.320622999999998</v>
      </c>
      <c r="O126">
        <v>65.125389999999996</v>
      </c>
      <c r="P126">
        <v>0</v>
      </c>
      <c r="R126">
        <f t="shared" si="6"/>
        <v>3.0169123582499999</v>
      </c>
      <c r="S126">
        <f t="shared" si="4"/>
        <v>8.2799924529000006E-4</v>
      </c>
      <c r="T126">
        <f t="shared" si="5"/>
        <v>1.725249527925E-3</v>
      </c>
      <c r="U126">
        <f t="shared" si="7"/>
        <v>0.26927888888888885</v>
      </c>
    </row>
    <row r="127" spans="2:21" x14ac:dyDescent="0.3">
      <c r="B127">
        <v>59000</v>
      </c>
      <c r="C127">
        <v>1.18E-2</v>
      </c>
      <c r="D127">
        <v>-3.1676370000000001E-3</v>
      </c>
      <c r="E127">
        <v>0</v>
      </c>
      <c r="F127">
        <v>0.93219874000000003</v>
      </c>
      <c r="G127">
        <v>5.7824545000000001</v>
      </c>
      <c r="H127">
        <v>3.1594850999999999</v>
      </c>
      <c r="I127">
        <v>2.4784543000000001</v>
      </c>
      <c r="J127">
        <v>5.8934635E-14</v>
      </c>
      <c r="K127">
        <v>-300564.02</v>
      </c>
      <c r="L127">
        <v>-43.934381999999999</v>
      </c>
      <c r="M127">
        <v>-445.18898999999999</v>
      </c>
      <c r="N127">
        <v>76.328166999999993</v>
      </c>
      <c r="O127">
        <v>65.124274999999997</v>
      </c>
      <c r="P127">
        <v>0</v>
      </c>
      <c r="R127">
        <f t="shared" si="6"/>
        <v>3.0454649326500003</v>
      </c>
      <c r="S127">
        <f t="shared" si="4"/>
        <v>4.4516512561499998E-4</v>
      </c>
      <c r="T127">
        <f t="shared" si="5"/>
        <v>4.5108774411750001E-3</v>
      </c>
      <c r="U127">
        <f t="shared" si="7"/>
        <v>0.26844381355932206</v>
      </c>
    </row>
    <row r="128" spans="2:21" x14ac:dyDescent="0.3">
      <c r="B128">
        <v>59500</v>
      </c>
      <c r="C128">
        <v>1.1900000000000001E-2</v>
      </c>
      <c r="D128">
        <v>-3.1958237999999998E-3</v>
      </c>
      <c r="E128">
        <v>0</v>
      </c>
      <c r="F128">
        <v>0.98555148999999997</v>
      </c>
      <c r="G128">
        <v>5.8700609999999998</v>
      </c>
      <c r="H128">
        <v>3.2054604000000002</v>
      </c>
      <c r="I128">
        <v>2.5118144999999998</v>
      </c>
      <c r="J128">
        <v>6.1285643000000005E-14</v>
      </c>
      <c r="K128">
        <v>-303229.51</v>
      </c>
      <c r="L128">
        <v>178.27064999999999</v>
      </c>
      <c r="M128">
        <v>-462.74466999999999</v>
      </c>
      <c r="N128">
        <v>76.335711000000003</v>
      </c>
      <c r="O128">
        <v>65.122433000000001</v>
      </c>
      <c r="P128">
        <v>0</v>
      </c>
      <c r="R128">
        <f t="shared" si="6"/>
        <v>3.072473010075</v>
      </c>
      <c r="S128">
        <f t="shared" si="4"/>
        <v>-1.8063273611249998E-3</v>
      </c>
      <c r="T128">
        <f t="shared" si="5"/>
        <v>4.6887603687749994E-3</v>
      </c>
      <c r="U128">
        <f t="shared" si="7"/>
        <v>0.26855662184873946</v>
      </c>
    </row>
    <row r="129" spans="2:21" x14ac:dyDescent="0.3">
      <c r="B129">
        <v>60000</v>
      </c>
      <c r="C129">
        <v>1.2E-2</v>
      </c>
      <c r="D129">
        <v>-3.2167789999999999E-3</v>
      </c>
      <c r="E129">
        <v>0</v>
      </c>
      <c r="F129">
        <v>1.0133013</v>
      </c>
      <c r="G129">
        <v>5.9656452</v>
      </c>
      <c r="H129">
        <v>3.2441914999999999</v>
      </c>
      <c r="I129">
        <v>2.5643657000000002</v>
      </c>
      <c r="J129">
        <v>6.0105919999999998E-14</v>
      </c>
      <c r="K129">
        <v>-305427.13</v>
      </c>
      <c r="L129">
        <v>-351.44666000000001</v>
      </c>
      <c r="M129">
        <v>-225.84657999999999</v>
      </c>
      <c r="N129">
        <v>76.343254999999999</v>
      </c>
      <c r="O129">
        <v>65.121064000000004</v>
      </c>
      <c r="P129">
        <v>0</v>
      </c>
      <c r="R129">
        <f t="shared" si="6"/>
        <v>3.0947403947250001</v>
      </c>
      <c r="S129">
        <f t="shared" si="4"/>
        <v>3.5610332824499999E-3</v>
      </c>
      <c r="T129">
        <f t="shared" si="5"/>
        <v>2.28839047185E-3</v>
      </c>
      <c r="U129">
        <f t="shared" si="7"/>
        <v>0.26806491666666665</v>
      </c>
    </row>
    <row r="130" spans="2:21" x14ac:dyDescent="0.3">
      <c r="B130">
        <v>60500</v>
      </c>
      <c r="C130">
        <v>1.21E-2</v>
      </c>
      <c r="D130">
        <v>-3.2649112999999998E-3</v>
      </c>
      <c r="E130">
        <v>0</v>
      </c>
      <c r="F130">
        <v>0.99956511000000003</v>
      </c>
      <c r="G130">
        <v>6.0650687000000003</v>
      </c>
      <c r="H130">
        <v>3.2998707999999999</v>
      </c>
      <c r="I130">
        <v>2.6102392999999999</v>
      </c>
      <c r="J130">
        <v>6.1939787000000006E-14</v>
      </c>
      <c r="K130">
        <v>-307803.42</v>
      </c>
      <c r="L130">
        <v>282.5206</v>
      </c>
      <c r="M130">
        <v>108.78636</v>
      </c>
      <c r="N130">
        <v>76.350798999999995</v>
      </c>
      <c r="O130">
        <v>65.117919999999998</v>
      </c>
      <c r="P130">
        <v>0</v>
      </c>
      <c r="R130">
        <f t="shared" si="6"/>
        <v>3.1188181531499999</v>
      </c>
      <c r="S130">
        <f t="shared" si="4"/>
        <v>-2.8626399794999999E-3</v>
      </c>
      <c r="T130">
        <f t="shared" si="5"/>
        <v>-1.1022777927000001E-3</v>
      </c>
      <c r="U130">
        <f t="shared" si="7"/>
        <v>0.26982738016528923</v>
      </c>
    </row>
    <row r="131" spans="2:21" x14ac:dyDescent="0.3">
      <c r="B131">
        <v>61000</v>
      </c>
      <c r="C131">
        <v>1.2200000000000001E-2</v>
      </c>
      <c r="D131">
        <v>-3.2779761000000002E-3</v>
      </c>
      <c r="E131">
        <v>0</v>
      </c>
      <c r="F131">
        <v>1.0056955999999999</v>
      </c>
      <c r="G131">
        <v>6.1606683000000002</v>
      </c>
      <c r="H131">
        <v>3.3674328999999998</v>
      </c>
      <c r="I131">
        <v>2.6373264999999999</v>
      </c>
      <c r="J131">
        <v>5.8733240000000003E-14</v>
      </c>
      <c r="K131">
        <v>-310731.05</v>
      </c>
      <c r="L131">
        <v>282.74250999999998</v>
      </c>
      <c r="M131">
        <v>378.56344999999999</v>
      </c>
      <c r="N131">
        <v>76.358341999999993</v>
      </c>
      <c r="O131">
        <v>65.117065999999994</v>
      </c>
      <c r="P131">
        <v>0</v>
      </c>
      <c r="R131">
        <f t="shared" si="6"/>
        <v>3.1484823641249999</v>
      </c>
      <c r="S131">
        <f t="shared" si="4"/>
        <v>-2.8648884825749998E-3</v>
      </c>
      <c r="T131">
        <f t="shared" si="5"/>
        <v>-3.8357941571250001E-3</v>
      </c>
      <c r="U131">
        <f t="shared" si="7"/>
        <v>0.26868656557377046</v>
      </c>
    </row>
    <row r="132" spans="2:21" x14ac:dyDescent="0.3">
      <c r="B132">
        <v>61500</v>
      </c>
      <c r="C132">
        <v>1.23E-2</v>
      </c>
      <c r="D132">
        <v>-3.2661779000000002E-3</v>
      </c>
      <c r="E132">
        <v>0</v>
      </c>
      <c r="F132">
        <v>1.0105128000000001</v>
      </c>
      <c r="G132">
        <v>6.2475924999999997</v>
      </c>
      <c r="H132">
        <v>3.4187530000000002</v>
      </c>
      <c r="I132">
        <v>2.6721837000000002</v>
      </c>
      <c r="J132">
        <v>6.0311755999999997E-14</v>
      </c>
      <c r="K132">
        <v>-313268.32</v>
      </c>
      <c r="L132">
        <v>-1013.7255</v>
      </c>
      <c r="M132">
        <v>459.76004999999998</v>
      </c>
      <c r="N132">
        <v>76.365886000000003</v>
      </c>
      <c r="O132">
        <v>65.117836999999994</v>
      </c>
      <c r="P132">
        <v>0</v>
      </c>
      <c r="R132">
        <f t="shared" si="6"/>
        <v>3.1741912524</v>
      </c>
      <c r="S132">
        <f t="shared" si="4"/>
        <v>1.0271573628750001E-2</v>
      </c>
      <c r="T132">
        <f t="shared" si="5"/>
        <v>-4.6585187066249993E-3</v>
      </c>
      <c r="U132">
        <f t="shared" si="7"/>
        <v>0.265542918699187</v>
      </c>
    </row>
    <row r="133" spans="2:21" x14ac:dyDescent="0.3">
      <c r="B133">
        <v>62000</v>
      </c>
      <c r="C133">
        <v>1.24E-2</v>
      </c>
      <c r="D133">
        <v>-3.3769805000000001E-3</v>
      </c>
      <c r="E133">
        <v>0</v>
      </c>
      <c r="F133">
        <v>1.0006994</v>
      </c>
      <c r="G133">
        <v>6.3431825000000002</v>
      </c>
      <c r="H133">
        <v>3.4454245999999999</v>
      </c>
      <c r="I133">
        <v>2.7426233999999998</v>
      </c>
      <c r="J133">
        <v>6.1776140000000004E-14</v>
      </c>
      <c r="K133">
        <v>-315129.05</v>
      </c>
      <c r="L133">
        <v>1219.0539000000001</v>
      </c>
      <c r="M133">
        <v>353.20891</v>
      </c>
      <c r="N133">
        <v>76.373429999999999</v>
      </c>
      <c r="O133">
        <v>65.110597999999996</v>
      </c>
      <c r="P133">
        <v>0</v>
      </c>
      <c r="R133">
        <f t="shared" si="6"/>
        <v>3.1930450991249999</v>
      </c>
      <c r="S133">
        <f t="shared" si="4"/>
        <v>-1.235206364175E-2</v>
      </c>
      <c r="T133">
        <f t="shared" si="5"/>
        <v>-3.5788892805749999E-3</v>
      </c>
      <c r="U133">
        <f t="shared" si="7"/>
        <v>0.27233713709677421</v>
      </c>
    </row>
    <row r="134" spans="2:21" x14ac:dyDescent="0.3">
      <c r="B134">
        <v>62500</v>
      </c>
      <c r="C134">
        <v>1.2500000000000001E-2</v>
      </c>
      <c r="D134">
        <v>-3.3367063000000001E-3</v>
      </c>
      <c r="E134">
        <v>0</v>
      </c>
      <c r="F134">
        <v>0.99049271000000005</v>
      </c>
      <c r="G134">
        <v>6.4467933000000004</v>
      </c>
      <c r="H134">
        <v>3.527523</v>
      </c>
      <c r="I134">
        <v>2.7657181</v>
      </c>
      <c r="J134">
        <v>5.7760019000000001E-14</v>
      </c>
      <c r="K134">
        <v>-318189.32</v>
      </c>
      <c r="L134">
        <v>-481.35834999999997</v>
      </c>
      <c r="M134">
        <v>101.47538</v>
      </c>
      <c r="N134">
        <v>76.380973999999995</v>
      </c>
      <c r="O134">
        <v>65.113229000000004</v>
      </c>
      <c r="P134">
        <v>0</v>
      </c>
      <c r="R134">
        <f t="shared" si="6"/>
        <v>3.2240532849000001</v>
      </c>
      <c r="S134">
        <f t="shared" si="4"/>
        <v>4.8773634813749998E-3</v>
      </c>
      <c r="T134">
        <f t="shared" si="5"/>
        <v>-1.02819928785E-3</v>
      </c>
      <c r="U134">
        <f t="shared" si="7"/>
        <v>0.26693650400000002</v>
      </c>
    </row>
    <row r="135" spans="2:21" x14ac:dyDescent="0.3">
      <c r="B135">
        <v>63000</v>
      </c>
      <c r="C135">
        <v>1.26E-2</v>
      </c>
      <c r="D135">
        <v>-3.3438460000000001E-3</v>
      </c>
      <c r="E135">
        <v>0</v>
      </c>
      <c r="F135">
        <v>1.0216730999999999</v>
      </c>
      <c r="G135">
        <v>6.5518615000000002</v>
      </c>
      <c r="H135">
        <v>3.5993210000000002</v>
      </c>
      <c r="I135">
        <v>2.7941546000000002</v>
      </c>
      <c r="J135">
        <v>5.8967942000000005E-14</v>
      </c>
      <c r="K135">
        <v>-320928.46999999997</v>
      </c>
      <c r="L135">
        <v>-863.55803000000003</v>
      </c>
      <c r="M135">
        <v>-173.94147000000001</v>
      </c>
      <c r="N135">
        <v>76.388518000000005</v>
      </c>
      <c r="O135">
        <v>65.112763000000001</v>
      </c>
      <c r="P135">
        <v>0</v>
      </c>
      <c r="R135">
        <f t="shared" si="6"/>
        <v>3.2518077222749997</v>
      </c>
      <c r="S135">
        <f t="shared" si="4"/>
        <v>8.7500017389749996E-3</v>
      </c>
      <c r="T135">
        <f t="shared" si="5"/>
        <v>1.7624619447750001E-3</v>
      </c>
      <c r="U135">
        <f t="shared" si="7"/>
        <v>0.26538460317460316</v>
      </c>
    </row>
    <row r="136" spans="2:21" x14ac:dyDescent="0.3">
      <c r="B136">
        <v>63500</v>
      </c>
      <c r="C136">
        <v>1.2699999999999999E-2</v>
      </c>
      <c r="D136">
        <v>-3.4737703999999999E-3</v>
      </c>
      <c r="E136">
        <v>0</v>
      </c>
      <c r="F136">
        <v>1.0193615</v>
      </c>
      <c r="G136">
        <v>6.6467362999999997</v>
      </c>
      <c r="H136">
        <v>3.6094225999999998</v>
      </c>
      <c r="I136">
        <v>2.8792862000000001</v>
      </c>
      <c r="J136">
        <v>5.9538373999999994E-14</v>
      </c>
      <c r="K136">
        <v>-322631.96000000002</v>
      </c>
      <c r="L136">
        <v>1836.0474999999999</v>
      </c>
      <c r="M136">
        <v>-385.85415999999998</v>
      </c>
      <c r="N136">
        <v>76.396061000000003</v>
      </c>
      <c r="O136">
        <v>65.104274000000004</v>
      </c>
      <c r="P136">
        <v>0</v>
      </c>
      <c r="R136">
        <f t="shared" si="6"/>
        <v>3.2690683347</v>
      </c>
      <c r="S136">
        <f t="shared" si="4"/>
        <v>-1.8603751293749998E-2</v>
      </c>
      <c r="T136">
        <f t="shared" si="5"/>
        <v>3.9096672761999999E-3</v>
      </c>
      <c r="U136">
        <f t="shared" si="7"/>
        <v>0.27352522834645671</v>
      </c>
    </row>
    <row r="137" spans="2:21" x14ac:dyDescent="0.3">
      <c r="B137">
        <v>64000</v>
      </c>
      <c r="C137">
        <v>1.2800000000000001E-2</v>
      </c>
      <c r="D137">
        <v>-3.3810074999999998E-3</v>
      </c>
      <c r="E137">
        <v>0</v>
      </c>
      <c r="F137">
        <v>1.0005188</v>
      </c>
      <c r="G137">
        <v>6.7435858</v>
      </c>
      <c r="H137">
        <v>3.6963460000000001</v>
      </c>
      <c r="I137">
        <v>2.8921334000000001</v>
      </c>
      <c r="J137">
        <v>5.9858784999999995E-14</v>
      </c>
      <c r="K137">
        <v>-325707.38</v>
      </c>
      <c r="L137">
        <v>-1663.8298</v>
      </c>
      <c r="M137">
        <v>-477.51123000000001</v>
      </c>
      <c r="N137">
        <v>76.403604999999999</v>
      </c>
      <c r="O137">
        <v>65.110335000000006</v>
      </c>
      <c r="P137">
        <v>0</v>
      </c>
      <c r="R137">
        <f t="shared" si="6"/>
        <v>3.3002300278500001</v>
      </c>
      <c r="S137">
        <f t="shared" ref="S137:S200" si="8">-L137*$B$3</f>
        <v>1.6858755448500001E-2</v>
      </c>
      <c r="T137">
        <f t="shared" ref="T137:T200" si="9">-M137*$B$3</f>
        <v>4.8383825379750001E-3</v>
      </c>
      <c r="U137">
        <f t="shared" si="7"/>
        <v>0.26414121093749998</v>
      </c>
    </row>
    <row r="138" spans="2:21" x14ac:dyDescent="0.3">
      <c r="B138">
        <v>64500</v>
      </c>
      <c r="C138">
        <v>1.29E-2</v>
      </c>
      <c r="D138">
        <v>-3.4679590000000001E-3</v>
      </c>
      <c r="E138">
        <v>0</v>
      </c>
      <c r="F138">
        <v>0.91616534999999999</v>
      </c>
      <c r="G138">
        <v>6.8287183999999996</v>
      </c>
      <c r="H138">
        <v>3.7561257000000001</v>
      </c>
      <c r="I138">
        <v>2.9305633000000002</v>
      </c>
      <c r="J138">
        <v>6.0242921999999995E-14</v>
      </c>
      <c r="K138">
        <v>-328293.90000000002</v>
      </c>
      <c r="L138">
        <v>547.64032999999995</v>
      </c>
      <c r="M138">
        <v>-423.93878000000001</v>
      </c>
      <c r="N138">
        <v>76.411148999999995</v>
      </c>
      <c r="O138">
        <v>65.104653999999996</v>
      </c>
      <c r="P138">
        <v>0</v>
      </c>
      <c r="R138">
        <f t="shared" ref="R138:R201" si="10">-K138*$B$3</f>
        <v>3.3264379417500001</v>
      </c>
      <c r="S138">
        <f t="shared" si="8"/>
        <v>-5.5489656437249998E-3</v>
      </c>
      <c r="T138">
        <f t="shared" si="9"/>
        <v>4.2955596883500003E-3</v>
      </c>
      <c r="U138">
        <f t="shared" ref="U138:U201" si="11">-D138/C138</f>
        <v>0.26883403100775194</v>
      </c>
    </row>
    <row r="139" spans="2:21" x14ac:dyDescent="0.3">
      <c r="B139">
        <v>65000</v>
      </c>
      <c r="C139">
        <v>1.2999999999999999E-2</v>
      </c>
      <c r="D139">
        <v>-3.4986634000000001E-3</v>
      </c>
      <c r="E139">
        <v>0</v>
      </c>
      <c r="F139">
        <v>1.0243905</v>
      </c>
      <c r="G139">
        <v>6.9483394000000001</v>
      </c>
      <c r="H139">
        <v>3.794432</v>
      </c>
      <c r="I139">
        <v>2.9951002999999998</v>
      </c>
      <c r="J139">
        <v>5.8664851000000003E-14</v>
      </c>
      <c r="K139">
        <v>-330413.49</v>
      </c>
      <c r="L139">
        <v>280.41546</v>
      </c>
      <c r="M139">
        <v>-284.19891000000001</v>
      </c>
      <c r="N139">
        <v>76.418693000000005</v>
      </c>
      <c r="O139">
        <v>65.102648000000002</v>
      </c>
      <c r="P139">
        <v>0</v>
      </c>
      <c r="R139">
        <f t="shared" si="10"/>
        <v>3.3479146874249999</v>
      </c>
      <c r="S139">
        <f t="shared" si="8"/>
        <v>-2.8413096484500001E-3</v>
      </c>
      <c r="T139">
        <f t="shared" si="9"/>
        <v>2.8796454555750002E-3</v>
      </c>
      <c r="U139">
        <f t="shared" si="11"/>
        <v>0.26912795384615384</v>
      </c>
    </row>
    <row r="140" spans="2:21" x14ac:dyDescent="0.3">
      <c r="B140">
        <v>65500</v>
      </c>
      <c r="C140">
        <v>1.3100000000000001E-2</v>
      </c>
      <c r="D140">
        <v>-3.5027090000000001E-3</v>
      </c>
      <c r="E140">
        <v>0</v>
      </c>
      <c r="F140">
        <v>1.0034242</v>
      </c>
      <c r="G140">
        <v>7.0490795999999998</v>
      </c>
      <c r="H140">
        <v>3.8518471000000001</v>
      </c>
      <c r="I140">
        <v>3.0416756</v>
      </c>
      <c r="J140">
        <v>6.1755711999999996E-14</v>
      </c>
      <c r="K140">
        <v>-332960.05</v>
      </c>
      <c r="L140">
        <v>-451.63796000000002</v>
      </c>
      <c r="M140">
        <v>-80.629143999999997</v>
      </c>
      <c r="N140">
        <v>76.426237</v>
      </c>
      <c r="O140">
        <v>65.102384000000001</v>
      </c>
      <c r="P140">
        <v>0</v>
      </c>
      <c r="R140">
        <f t="shared" si="10"/>
        <v>3.3737177066249999</v>
      </c>
      <c r="S140">
        <f t="shared" si="8"/>
        <v>4.5762216297000006E-3</v>
      </c>
      <c r="T140">
        <f t="shared" si="9"/>
        <v>8.1697480158000001E-4</v>
      </c>
      <c r="U140">
        <f t="shared" si="11"/>
        <v>0.26738236641221375</v>
      </c>
    </row>
    <row r="141" spans="2:21" x14ac:dyDescent="0.3">
      <c r="B141">
        <v>66000</v>
      </c>
      <c r="C141">
        <v>1.32E-2</v>
      </c>
      <c r="D141">
        <v>-3.5425811E-3</v>
      </c>
      <c r="E141">
        <v>0</v>
      </c>
      <c r="F141">
        <v>0.96494506999999996</v>
      </c>
      <c r="G141">
        <v>7.1406565999999998</v>
      </c>
      <c r="H141">
        <v>3.9313259</v>
      </c>
      <c r="I141">
        <v>3.0597390999999998</v>
      </c>
      <c r="J141">
        <v>6.0393911999999998E-14</v>
      </c>
      <c r="K141">
        <v>-335792.61</v>
      </c>
      <c r="L141">
        <v>424.74655000000001</v>
      </c>
      <c r="M141">
        <v>126.7724</v>
      </c>
      <c r="N141">
        <v>76.433779999999999</v>
      </c>
      <c r="O141">
        <v>65.099778999999998</v>
      </c>
      <c r="P141">
        <v>0</v>
      </c>
      <c r="R141">
        <f t="shared" si="10"/>
        <v>3.4024186208249998</v>
      </c>
      <c r="S141">
        <f t="shared" si="8"/>
        <v>-4.3037444178750002E-3</v>
      </c>
      <c r="T141">
        <f t="shared" si="9"/>
        <v>-1.284521343E-3</v>
      </c>
      <c r="U141">
        <f t="shared" si="11"/>
        <v>0.26837735606060609</v>
      </c>
    </row>
    <row r="142" spans="2:21" x14ac:dyDescent="0.3">
      <c r="B142">
        <v>66500</v>
      </c>
      <c r="C142">
        <v>1.3299999999999999E-2</v>
      </c>
      <c r="D142">
        <v>-3.5545022999999999E-3</v>
      </c>
      <c r="E142">
        <v>0</v>
      </c>
      <c r="F142">
        <v>0.94324574999999999</v>
      </c>
      <c r="G142">
        <v>7.2434750000000001</v>
      </c>
      <c r="H142">
        <v>3.9764938000000001</v>
      </c>
      <c r="I142">
        <v>3.1207536</v>
      </c>
      <c r="J142">
        <v>5.7908345000000004E-14</v>
      </c>
      <c r="K142">
        <v>-338082.17</v>
      </c>
      <c r="L142">
        <v>-324.56734999999998</v>
      </c>
      <c r="M142">
        <v>300.34802000000002</v>
      </c>
      <c r="N142">
        <v>76.441323999999994</v>
      </c>
      <c r="O142">
        <v>65.099000000000004</v>
      </c>
      <c r="P142">
        <v>0</v>
      </c>
      <c r="R142">
        <f t="shared" si="10"/>
        <v>3.4256175875249997</v>
      </c>
      <c r="S142">
        <f t="shared" si="8"/>
        <v>3.2886786738749998E-3</v>
      </c>
      <c r="T142">
        <f t="shared" si="9"/>
        <v>-3.0432763126500002E-3</v>
      </c>
      <c r="U142">
        <f t="shared" si="11"/>
        <v>0.2672558120300752</v>
      </c>
    </row>
    <row r="143" spans="2:21" x14ac:dyDescent="0.3">
      <c r="B143">
        <v>67000</v>
      </c>
      <c r="C143">
        <v>1.34E-2</v>
      </c>
      <c r="D143">
        <v>-3.5994834999999998E-3</v>
      </c>
      <c r="E143">
        <v>0</v>
      </c>
      <c r="F143">
        <v>0.93752575000000005</v>
      </c>
      <c r="G143">
        <v>7.3507274999999996</v>
      </c>
      <c r="H143">
        <v>4.0307450999999999</v>
      </c>
      <c r="I143">
        <v>3.1746414999999999</v>
      </c>
      <c r="J143">
        <v>5.9548809999999996E-14</v>
      </c>
      <c r="K143">
        <v>-340375.89</v>
      </c>
      <c r="L143">
        <v>113.13081</v>
      </c>
      <c r="M143">
        <v>419.40329000000003</v>
      </c>
      <c r="N143">
        <v>76.448868000000004</v>
      </c>
      <c r="O143">
        <v>65.096062000000003</v>
      </c>
      <c r="P143">
        <v>0</v>
      </c>
      <c r="R143">
        <f t="shared" si="10"/>
        <v>3.4488587054250002</v>
      </c>
      <c r="S143">
        <f t="shared" si="8"/>
        <v>-1.1462979323249999E-3</v>
      </c>
      <c r="T143">
        <f t="shared" si="9"/>
        <v>-4.2496038359250005E-3</v>
      </c>
      <c r="U143">
        <f t="shared" si="11"/>
        <v>0.26861817164179103</v>
      </c>
    </row>
    <row r="144" spans="2:21" x14ac:dyDescent="0.3">
      <c r="B144">
        <v>67500</v>
      </c>
      <c r="C144">
        <v>1.35E-2</v>
      </c>
      <c r="D144">
        <v>-3.6135671999999999E-3</v>
      </c>
      <c r="E144">
        <v>0</v>
      </c>
      <c r="F144">
        <v>0.96463885000000005</v>
      </c>
      <c r="G144">
        <v>7.4597391000000002</v>
      </c>
      <c r="H144">
        <v>4.1109093999999997</v>
      </c>
      <c r="I144">
        <v>3.1992856000000001</v>
      </c>
      <c r="J144">
        <v>5.9604543999999996E-14</v>
      </c>
      <c r="K144">
        <v>-343346.41</v>
      </c>
      <c r="L144">
        <v>226.90360000000001</v>
      </c>
      <c r="M144">
        <v>465.25650000000002</v>
      </c>
      <c r="N144">
        <v>76.456412</v>
      </c>
      <c r="O144">
        <v>65.095140999999998</v>
      </c>
      <c r="P144">
        <v>0</v>
      </c>
      <c r="R144">
        <f t="shared" si="10"/>
        <v>3.4789574993249999</v>
      </c>
      <c r="S144">
        <f t="shared" si="8"/>
        <v>-2.2991007270000002E-3</v>
      </c>
      <c r="T144">
        <f t="shared" si="9"/>
        <v>-4.7142114862499997E-3</v>
      </c>
      <c r="U144">
        <f t="shared" si="11"/>
        <v>0.26767164444444441</v>
      </c>
    </row>
    <row r="145" spans="2:21" x14ac:dyDescent="0.3">
      <c r="B145">
        <v>68000</v>
      </c>
      <c r="C145">
        <v>1.3599999999999999E-2</v>
      </c>
      <c r="D145">
        <v>-3.6167316E-3</v>
      </c>
      <c r="E145">
        <v>0</v>
      </c>
      <c r="F145">
        <v>1.0354992000000001</v>
      </c>
      <c r="G145">
        <v>7.5709491</v>
      </c>
      <c r="H145">
        <v>4.1555071000000003</v>
      </c>
      <c r="I145">
        <v>3.2549127000000002</v>
      </c>
      <c r="J145">
        <v>5.8615557000000005E-14</v>
      </c>
      <c r="K145">
        <v>-345644.37</v>
      </c>
      <c r="L145">
        <v>-805.98892999999998</v>
      </c>
      <c r="M145">
        <v>442.53246999999999</v>
      </c>
      <c r="N145">
        <v>76.463955999999996</v>
      </c>
      <c r="O145">
        <v>65.094935000000007</v>
      </c>
      <c r="P145">
        <v>0</v>
      </c>
      <c r="R145">
        <f t="shared" si="10"/>
        <v>3.5022415790250001</v>
      </c>
      <c r="S145">
        <f t="shared" si="8"/>
        <v>8.1666828332249992E-3</v>
      </c>
      <c r="T145">
        <f t="shared" si="9"/>
        <v>-4.4839602522749999E-3</v>
      </c>
      <c r="U145">
        <f t="shared" si="11"/>
        <v>0.26593614705882357</v>
      </c>
    </row>
    <row r="146" spans="2:21" x14ac:dyDescent="0.3">
      <c r="B146">
        <v>68500</v>
      </c>
      <c r="C146">
        <v>1.37E-2</v>
      </c>
      <c r="D146">
        <v>-3.7227125000000002E-3</v>
      </c>
      <c r="E146">
        <v>0</v>
      </c>
      <c r="F146">
        <v>1.0608248</v>
      </c>
      <c r="G146">
        <v>7.6793728999999997</v>
      </c>
      <c r="H146">
        <v>4.1913061000000003</v>
      </c>
      <c r="I146">
        <v>3.3236113999999999</v>
      </c>
      <c r="J146">
        <v>5.9590111E-14</v>
      </c>
      <c r="K146">
        <v>-347703.09</v>
      </c>
      <c r="L146">
        <v>1480.6212</v>
      </c>
      <c r="M146">
        <v>378.14774</v>
      </c>
      <c r="N146">
        <v>76.471498999999994</v>
      </c>
      <c r="O146">
        <v>65.088010999999995</v>
      </c>
      <c r="P146">
        <v>0</v>
      </c>
      <c r="R146">
        <f t="shared" si="10"/>
        <v>3.5231015594250001</v>
      </c>
      <c r="S146">
        <f t="shared" si="8"/>
        <v>-1.5002394309E-2</v>
      </c>
      <c r="T146">
        <f t="shared" si="9"/>
        <v>-3.8315819755499999E-3</v>
      </c>
      <c r="U146">
        <f t="shared" si="11"/>
        <v>0.27173083941605841</v>
      </c>
    </row>
    <row r="147" spans="2:21" x14ac:dyDescent="0.3">
      <c r="B147">
        <v>69000</v>
      </c>
      <c r="C147">
        <v>1.38E-2</v>
      </c>
      <c r="D147">
        <v>-3.6390532999999998E-3</v>
      </c>
      <c r="E147">
        <v>0</v>
      </c>
      <c r="F147">
        <v>0.97458290000000003</v>
      </c>
      <c r="G147">
        <v>7.7800114000000002</v>
      </c>
      <c r="H147">
        <v>4.3048425999999997</v>
      </c>
      <c r="I147">
        <v>3.3240831000000002</v>
      </c>
      <c r="J147">
        <v>5.9024341000000005E-14</v>
      </c>
      <c r="K147">
        <v>-351040.63</v>
      </c>
      <c r="L147">
        <v>-1371.9363000000001</v>
      </c>
      <c r="M147">
        <v>292.27697000000001</v>
      </c>
      <c r="N147">
        <v>76.479043000000004</v>
      </c>
      <c r="O147">
        <v>65.093475999999995</v>
      </c>
      <c r="P147">
        <v>0</v>
      </c>
      <c r="R147">
        <f t="shared" si="10"/>
        <v>3.5569191834750002</v>
      </c>
      <c r="S147">
        <f t="shared" si="8"/>
        <v>1.3901144559750001E-2</v>
      </c>
      <c r="T147">
        <f t="shared" si="9"/>
        <v>-2.961496398525E-3</v>
      </c>
      <c r="U147">
        <f t="shared" si="11"/>
        <v>0.26369951449275364</v>
      </c>
    </row>
    <row r="148" spans="2:21" x14ac:dyDescent="0.3">
      <c r="B148">
        <v>69500</v>
      </c>
      <c r="C148">
        <v>1.3899999999999999E-2</v>
      </c>
      <c r="D148">
        <v>-3.7374883999999999E-3</v>
      </c>
      <c r="E148">
        <v>0</v>
      </c>
      <c r="F148">
        <v>0.99130666999999995</v>
      </c>
      <c r="G148">
        <v>7.8890305999999999</v>
      </c>
      <c r="H148">
        <v>4.3304818999999997</v>
      </c>
      <c r="I148">
        <v>3.4048704000000001</v>
      </c>
      <c r="J148">
        <v>6.0783155999999994E-14</v>
      </c>
      <c r="K148">
        <v>-352934.7</v>
      </c>
      <c r="L148">
        <v>453.06470000000002</v>
      </c>
      <c r="M148">
        <v>175.02663999999999</v>
      </c>
      <c r="N148">
        <v>76.486587</v>
      </c>
      <c r="O148">
        <v>65.087045000000003</v>
      </c>
      <c r="P148">
        <v>0</v>
      </c>
      <c r="R148">
        <f t="shared" si="10"/>
        <v>3.5761108477500003</v>
      </c>
      <c r="S148">
        <f t="shared" si="8"/>
        <v>-4.5906780727500004E-3</v>
      </c>
      <c r="T148">
        <f t="shared" si="9"/>
        <v>-1.7734574297999998E-3</v>
      </c>
      <c r="U148">
        <f t="shared" si="11"/>
        <v>0.26888405755395683</v>
      </c>
    </row>
    <row r="149" spans="2:21" x14ac:dyDescent="0.3">
      <c r="B149">
        <v>70000</v>
      </c>
      <c r="C149">
        <v>1.4E-2</v>
      </c>
      <c r="D149">
        <v>-3.7702921999999998E-3</v>
      </c>
      <c r="E149">
        <v>0</v>
      </c>
      <c r="F149">
        <v>0.99374998000000003</v>
      </c>
      <c r="G149">
        <v>8.0027836000000008</v>
      </c>
      <c r="H149">
        <v>4.3873791000000004</v>
      </c>
      <c r="I149">
        <v>3.4613472999999999</v>
      </c>
      <c r="J149">
        <v>5.9398042000000003E-14</v>
      </c>
      <c r="K149">
        <v>-355360.54</v>
      </c>
      <c r="L149">
        <v>603.23419999999999</v>
      </c>
      <c r="M149">
        <v>58.142271999999998</v>
      </c>
      <c r="N149">
        <v>76.494130999999996</v>
      </c>
      <c r="O149">
        <v>65.084902</v>
      </c>
      <c r="P149">
        <v>0</v>
      </c>
      <c r="R149">
        <f t="shared" si="10"/>
        <v>3.6006906715499998</v>
      </c>
      <c r="S149">
        <f t="shared" si="8"/>
        <v>-6.1122705314999998E-3</v>
      </c>
      <c r="T149">
        <f t="shared" si="9"/>
        <v>-5.8912657103999994E-4</v>
      </c>
      <c r="U149">
        <f t="shared" si="11"/>
        <v>0.26930658571428567</v>
      </c>
    </row>
    <row r="150" spans="2:21" x14ac:dyDescent="0.3">
      <c r="B150">
        <v>70500</v>
      </c>
      <c r="C150">
        <v>1.41E-2</v>
      </c>
      <c r="D150">
        <v>-3.7202568000000002E-3</v>
      </c>
      <c r="E150">
        <v>0</v>
      </c>
      <c r="F150">
        <v>1.0062732999999999</v>
      </c>
      <c r="G150">
        <v>8.1090473999999997</v>
      </c>
      <c r="H150">
        <v>4.4877925000000003</v>
      </c>
      <c r="I150">
        <v>3.4652563999999999</v>
      </c>
      <c r="J150">
        <v>6.1071592000000002E-14</v>
      </c>
      <c r="K150">
        <v>-358527.8</v>
      </c>
      <c r="L150">
        <v>-1262.5804000000001</v>
      </c>
      <c r="M150">
        <v>-51.661127999999998</v>
      </c>
      <c r="N150">
        <v>76.501675000000006</v>
      </c>
      <c r="O150">
        <v>65.088171000000003</v>
      </c>
      <c r="P150">
        <v>0</v>
      </c>
      <c r="R150">
        <f t="shared" si="10"/>
        <v>3.6327829334999997</v>
      </c>
      <c r="S150">
        <f t="shared" si="8"/>
        <v>1.2793095903E-2</v>
      </c>
      <c r="T150">
        <f t="shared" si="9"/>
        <v>5.2345637945999993E-4</v>
      </c>
      <c r="U150">
        <f t="shared" si="11"/>
        <v>0.26384800000000003</v>
      </c>
    </row>
    <row r="151" spans="2:21" x14ac:dyDescent="0.3">
      <c r="B151">
        <v>71000</v>
      </c>
      <c r="C151">
        <v>1.4200000000000001E-2</v>
      </c>
      <c r="D151">
        <v>-3.8479806000000002E-3</v>
      </c>
      <c r="E151">
        <v>0</v>
      </c>
      <c r="F151">
        <v>0.98296276000000005</v>
      </c>
      <c r="G151">
        <v>8.2137563999999994</v>
      </c>
      <c r="H151">
        <v>4.5033892</v>
      </c>
      <c r="I151">
        <v>3.5579824000000002</v>
      </c>
      <c r="J151">
        <v>5.9247940000000005E-14</v>
      </c>
      <c r="K151">
        <v>-360216.48</v>
      </c>
      <c r="L151">
        <v>1347.3177000000001</v>
      </c>
      <c r="M151">
        <v>-130.08024</v>
      </c>
      <c r="N151">
        <v>76.509218000000004</v>
      </c>
      <c r="O151">
        <v>65.079826999999995</v>
      </c>
      <c r="P151">
        <v>0</v>
      </c>
      <c r="R151">
        <f t="shared" si="10"/>
        <v>3.6498934835999997</v>
      </c>
      <c r="S151">
        <f t="shared" si="8"/>
        <v>-1.365169659525E-2</v>
      </c>
      <c r="T151">
        <f t="shared" si="9"/>
        <v>1.3180380318E-3</v>
      </c>
      <c r="U151">
        <f t="shared" si="11"/>
        <v>0.27098454929577465</v>
      </c>
    </row>
    <row r="152" spans="2:21" x14ac:dyDescent="0.3">
      <c r="B152">
        <v>71500</v>
      </c>
      <c r="C152">
        <v>1.43E-2</v>
      </c>
      <c r="D152">
        <v>-3.7901499999999999E-3</v>
      </c>
      <c r="E152">
        <v>0</v>
      </c>
      <c r="F152">
        <v>0.99162724000000002</v>
      </c>
      <c r="G152">
        <v>8.3220302000000004</v>
      </c>
      <c r="H152">
        <v>4.5919290999999998</v>
      </c>
      <c r="I152">
        <v>3.5763731000000001</v>
      </c>
      <c r="J152">
        <v>5.9451110999999997E-14</v>
      </c>
      <c r="K152">
        <v>-363199.24</v>
      </c>
      <c r="L152">
        <v>-1012.2333</v>
      </c>
      <c r="M152">
        <v>-214.97154</v>
      </c>
      <c r="N152">
        <v>76.516762</v>
      </c>
      <c r="O152">
        <v>65.083605000000006</v>
      </c>
      <c r="P152">
        <v>0</v>
      </c>
      <c r="R152">
        <f t="shared" si="10"/>
        <v>3.6801162992999998</v>
      </c>
      <c r="S152">
        <f t="shared" si="8"/>
        <v>1.025645391225E-2</v>
      </c>
      <c r="T152">
        <f t="shared" si="9"/>
        <v>2.1781991290499999E-3</v>
      </c>
      <c r="U152">
        <f t="shared" si="11"/>
        <v>0.26504545454545453</v>
      </c>
    </row>
    <row r="153" spans="2:21" x14ac:dyDescent="0.3">
      <c r="B153">
        <v>72000</v>
      </c>
      <c r="C153">
        <v>1.44E-2</v>
      </c>
      <c r="D153">
        <v>-3.8577593999999998E-3</v>
      </c>
      <c r="E153">
        <v>0</v>
      </c>
      <c r="F153">
        <v>0.97365908999999995</v>
      </c>
      <c r="G153">
        <v>8.4326550000000005</v>
      </c>
      <c r="H153">
        <v>4.6574888999999997</v>
      </c>
      <c r="I153">
        <v>3.6242236000000001</v>
      </c>
      <c r="J153">
        <v>6.0361494000000003E-14</v>
      </c>
      <c r="K153">
        <v>-365751.13</v>
      </c>
      <c r="L153">
        <v>502.53707000000003</v>
      </c>
      <c r="M153">
        <v>-279.29739999999998</v>
      </c>
      <c r="N153">
        <v>76.524305999999996</v>
      </c>
      <c r="O153">
        <v>65.079188000000002</v>
      </c>
      <c r="P153">
        <v>0</v>
      </c>
      <c r="R153">
        <f t="shared" si="10"/>
        <v>3.705973324725</v>
      </c>
      <c r="S153">
        <f t="shared" si="8"/>
        <v>-5.0919568617750002E-3</v>
      </c>
      <c r="T153">
        <f t="shared" si="9"/>
        <v>2.8299809054999998E-3</v>
      </c>
      <c r="U153">
        <f t="shared" si="11"/>
        <v>0.26789995833333335</v>
      </c>
    </row>
    <row r="154" spans="2:21" x14ac:dyDescent="0.3">
      <c r="B154">
        <v>72500</v>
      </c>
      <c r="C154">
        <v>1.4500000000000001E-2</v>
      </c>
      <c r="D154">
        <v>-3.8816544000000001E-3</v>
      </c>
      <c r="E154">
        <v>0</v>
      </c>
      <c r="F154">
        <v>0.99080836999999999</v>
      </c>
      <c r="G154">
        <v>8.5476161000000008</v>
      </c>
      <c r="H154">
        <v>4.6973089000000003</v>
      </c>
      <c r="I154">
        <v>3.6967061999999999</v>
      </c>
      <c r="J154">
        <v>5.8621329999999994E-14</v>
      </c>
      <c r="K154">
        <v>-367809</v>
      </c>
      <c r="L154">
        <v>-70.586276999999995</v>
      </c>
      <c r="M154">
        <v>-320.88384000000002</v>
      </c>
      <c r="N154">
        <v>76.531850000000006</v>
      </c>
      <c r="O154">
        <v>65.077627000000007</v>
      </c>
      <c r="P154">
        <v>0</v>
      </c>
      <c r="R154">
        <f t="shared" si="10"/>
        <v>3.7268246925000001</v>
      </c>
      <c r="S154">
        <f t="shared" si="8"/>
        <v>7.152154517025E-4</v>
      </c>
      <c r="T154">
        <f t="shared" si="9"/>
        <v>3.2513555088E-3</v>
      </c>
      <c r="U154">
        <f t="shared" si="11"/>
        <v>0.26770030344827583</v>
      </c>
    </row>
    <row r="155" spans="2:21" x14ac:dyDescent="0.3">
      <c r="B155">
        <v>73000</v>
      </c>
      <c r="C155">
        <v>1.46E-2</v>
      </c>
      <c r="D155">
        <v>-3.8904743999999998E-3</v>
      </c>
      <c r="E155">
        <v>0</v>
      </c>
      <c r="F155">
        <v>1.060033</v>
      </c>
      <c r="G155">
        <v>8.6665898000000006</v>
      </c>
      <c r="H155">
        <v>4.7844122999999996</v>
      </c>
      <c r="I155">
        <v>3.7178447999999999</v>
      </c>
      <c r="J155">
        <v>5.9467763999999997E-14</v>
      </c>
      <c r="K155">
        <v>-370745.81</v>
      </c>
      <c r="L155">
        <v>-147.46252000000001</v>
      </c>
      <c r="M155">
        <v>-357.31405000000001</v>
      </c>
      <c r="N155">
        <v>76.539394000000001</v>
      </c>
      <c r="O155">
        <v>65.077050999999997</v>
      </c>
      <c r="P155">
        <v>0</v>
      </c>
      <c r="R155">
        <f t="shared" si="10"/>
        <v>3.7565819198249999</v>
      </c>
      <c r="S155">
        <f t="shared" si="8"/>
        <v>1.4941639839000001E-3</v>
      </c>
      <c r="T155">
        <f t="shared" si="9"/>
        <v>3.620484611625E-3</v>
      </c>
      <c r="U155">
        <f t="shared" si="11"/>
        <v>0.26647084931506848</v>
      </c>
    </row>
    <row r="156" spans="2:21" x14ac:dyDescent="0.3">
      <c r="B156">
        <v>73500</v>
      </c>
      <c r="C156">
        <v>1.47E-2</v>
      </c>
      <c r="D156">
        <v>-3.9321065999999997E-3</v>
      </c>
      <c r="E156">
        <v>0</v>
      </c>
      <c r="F156">
        <v>0.99096989000000002</v>
      </c>
      <c r="G156">
        <v>8.7796073999999997</v>
      </c>
      <c r="H156">
        <v>4.8434416999999996</v>
      </c>
      <c r="I156">
        <v>3.7825397000000001</v>
      </c>
      <c r="J156">
        <v>5.9975580000000001E-14</v>
      </c>
      <c r="K156">
        <v>-373060.52</v>
      </c>
      <c r="L156">
        <v>190.94964999999999</v>
      </c>
      <c r="M156">
        <v>-372.73863999999998</v>
      </c>
      <c r="N156">
        <v>76.546937</v>
      </c>
      <c r="O156">
        <v>65.074331000000001</v>
      </c>
      <c r="P156">
        <v>0</v>
      </c>
      <c r="R156">
        <f t="shared" si="10"/>
        <v>3.7800357189000002</v>
      </c>
      <c r="S156">
        <f t="shared" si="8"/>
        <v>-1.9347973286249999E-3</v>
      </c>
      <c r="T156">
        <f t="shared" si="9"/>
        <v>3.7767742697999997E-3</v>
      </c>
      <c r="U156">
        <f t="shared" si="11"/>
        <v>0.2674902448979592</v>
      </c>
    </row>
    <row r="157" spans="2:21" x14ac:dyDescent="0.3">
      <c r="B157">
        <v>74000</v>
      </c>
      <c r="C157">
        <v>1.4800000000000001E-2</v>
      </c>
      <c r="D157">
        <v>-3.9539029999999999E-3</v>
      </c>
      <c r="E157">
        <v>0</v>
      </c>
      <c r="F157">
        <v>1.0123340000000001</v>
      </c>
      <c r="G157">
        <v>8.8918766999999992</v>
      </c>
      <c r="H157">
        <v>4.8954085000000003</v>
      </c>
      <c r="I157">
        <v>3.8395301000000002</v>
      </c>
      <c r="J157">
        <v>5.9956261999999995E-14</v>
      </c>
      <c r="K157">
        <v>-375368.93</v>
      </c>
      <c r="L157">
        <v>-165.90875</v>
      </c>
      <c r="M157">
        <v>-394.59636999999998</v>
      </c>
      <c r="N157">
        <v>76.554480999999996</v>
      </c>
      <c r="O157">
        <v>65.072907000000001</v>
      </c>
      <c r="P157">
        <v>0</v>
      </c>
      <c r="R157">
        <f t="shared" si="10"/>
        <v>3.803425683225</v>
      </c>
      <c r="S157">
        <f t="shared" si="8"/>
        <v>1.681070409375E-3</v>
      </c>
      <c r="T157">
        <f t="shared" si="9"/>
        <v>3.998247719025E-3</v>
      </c>
      <c r="U157">
        <f t="shared" si="11"/>
        <v>0.26715560810810807</v>
      </c>
    </row>
    <row r="158" spans="2:21" x14ac:dyDescent="0.3">
      <c r="B158">
        <v>74500</v>
      </c>
      <c r="C158">
        <v>1.49E-2</v>
      </c>
      <c r="D158">
        <v>-3.9743675999999997E-3</v>
      </c>
      <c r="E158">
        <v>0</v>
      </c>
      <c r="F158">
        <v>0.97683531999999995</v>
      </c>
      <c r="G158">
        <v>8.9976012000000001</v>
      </c>
      <c r="H158">
        <v>4.9835082999999996</v>
      </c>
      <c r="I158">
        <v>3.8626581</v>
      </c>
      <c r="J158">
        <v>5.9290794000000001E-14</v>
      </c>
      <c r="K158">
        <v>-378296.6</v>
      </c>
      <c r="L158">
        <v>146.58472</v>
      </c>
      <c r="M158">
        <v>-391.11115999999998</v>
      </c>
      <c r="N158">
        <v>76.562025000000006</v>
      </c>
      <c r="O158">
        <v>65.071569999999994</v>
      </c>
      <c r="P158">
        <v>0</v>
      </c>
      <c r="R158">
        <f t="shared" si="10"/>
        <v>3.8330902994999998</v>
      </c>
      <c r="S158">
        <f t="shared" si="8"/>
        <v>-1.4852696754E-3</v>
      </c>
      <c r="T158">
        <f t="shared" si="9"/>
        <v>3.9629338287000002E-3</v>
      </c>
      <c r="U158">
        <f t="shared" si="11"/>
        <v>0.26673608053691272</v>
      </c>
    </row>
    <row r="159" spans="2:21" x14ac:dyDescent="0.3">
      <c r="B159">
        <v>75000</v>
      </c>
      <c r="C159">
        <v>1.4999999999999999E-2</v>
      </c>
      <c r="D159">
        <v>-4.0067148999999996E-3</v>
      </c>
      <c r="E159">
        <v>0</v>
      </c>
      <c r="F159">
        <v>0.97453624000000005</v>
      </c>
      <c r="G159">
        <v>9.1168978000000003</v>
      </c>
      <c r="H159">
        <v>5.0257296</v>
      </c>
      <c r="I159">
        <v>3.9400898</v>
      </c>
      <c r="J159">
        <v>6.1524118999999996E-14</v>
      </c>
      <c r="K159">
        <v>-380344.8</v>
      </c>
      <c r="L159">
        <v>-142.73715999999999</v>
      </c>
      <c r="M159">
        <v>-389.64262000000002</v>
      </c>
      <c r="N159">
        <v>76.569569000000001</v>
      </c>
      <c r="O159">
        <v>65.069457</v>
      </c>
      <c r="P159">
        <v>0</v>
      </c>
      <c r="R159">
        <f t="shared" si="10"/>
        <v>3.8538436859999998</v>
      </c>
      <c r="S159">
        <f t="shared" si="8"/>
        <v>1.4462842736999999E-3</v>
      </c>
      <c r="T159">
        <f t="shared" si="9"/>
        <v>3.9480538471500003E-3</v>
      </c>
      <c r="U159">
        <f t="shared" si="11"/>
        <v>0.26711432666666668</v>
      </c>
    </row>
    <row r="160" spans="2:21" x14ac:dyDescent="0.3">
      <c r="B160">
        <v>75500</v>
      </c>
      <c r="C160">
        <v>1.5100000000000001E-2</v>
      </c>
      <c r="D160">
        <v>-4.0332709999999997E-3</v>
      </c>
      <c r="E160">
        <v>0</v>
      </c>
      <c r="F160">
        <v>1.0370337999999999</v>
      </c>
      <c r="G160">
        <v>9.2417362999999995</v>
      </c>
      <c r="H160">
        <v>5.1038218999999998</v>
      </c>
      <c r="I160">
        <v>3.9771472000000001</v>
      </c>
      <c r="J160">
        <v>6.1016525000000002E-14</v>
      </c>
      <c r="K160">
        <v>-383064.04</v>
      </c>
      <c r="L160">
        <v>151.24494999999999</v>
      </c>
      <c r="M160">
        <v>-389.37180000000001</v>
      </c>
      <c r="N160">
        <v>76.577112999999997</v>
      </c>
      <c r="O160">
        <v>65.067722000000003</v>
      </c>
      <c r="P160">
        <v>0</v>
      </c>
      <c r="R160">
        <f t="shared" si="10"/>
        <v>3.8813963853</v>
      </c>
      <c r="S160">
        <f t="shared" si="8"/>
        <v>-1.5324894558749998E-3</v>
      </c>
      <c r="T160">
        <f t="shared" si="9"/>
        <v>3.9453097635000003E-3</v>
      </c>
      <c r="U160">
        <f t="shared" si="11"/>
        <v>0.26710403973509933</v>
      </c>
    </row>
    <row r="161" spans="2:21" x14ac:dyDescent="0.3">
      <c r="B161">
        <v>76000</v>
      </c>
      <c r="C161">
        <v>1.52E-2</v>
      </c>
      <c r="D161">
        <v>-4.0469716999999997E-3</v>
      </c>
      <c r="E161">
        <v>0</v>
      </c>
      <c r="F161">
        <v>0.96715439000000003</v>
      </c>
      <c r="G161">
        <v>9.3619395000000001</v>
      </c>
      <c r="H161">
        <v>5.1851713999999998</v>
      </c>
      <c r="I161">
        <v>4.026834</v>
      </c>
      <c r="J161">
        <v>5.9731775000000004E-14</v>
      </c>
      <c r="K161">
        <v>-385655.3</v>
      </c>
      <c r="L161">
        <v>-148.14395999999999</v>
      </c>
      <c r="M161">
        <v>-374.18732999999997</v>
      </c>
      <c r="N161">
        <v>76.584655999999995</v>
      </c>
      <c r="O161">
        <v>65.066827000000004</v>
      </c>
      <c r="P161">
        <v>0</v>
      </c>
      <c r="R161">
        <f t="shared" si="10"/>
        <v>3.9076523272499997</v>
      </c>
      <c r="S161">
        <f t="shared" si="8"/>
        <v>1.5010686747E-3</v>
      </c>
      <c r="T161">
        <f t="shared" si="9"/>
        <v>3.7914531212249998E-3</v>
      </c>
      <c r="U161">
        <f t="shared" si="11"/>
        <v>0.26624813815789472</v>
      </c>
    </row>
    <row r="162" spans="2:21" x14ac:dyDescent="0.3">
      <c r="B162">
        <v>76500</v>
      </c>
      <c r="C162">
        <v>1.5299999999999999E-2</v>
      </c>
      <c r="D162">
        <v>-4.0911736000000002E-3</v>
      </c>
      <c r="E162">
        <v>0</v>
      </c>
      <c r="F162">
        <v>1.0209292999999999</v>
      </c>
      <c r="G162">
        <v>9.4836925000000001</v>
      </c>
      <c r="H162">
        <v>5.2272723000000001</v>
      </c>
      <c r="I162">
        <v>4.0981496000000002</v>
      </c>
      <c r="J162">
        <v>6.1416426999999998E-14</v>
      </c>
      <c r="K162">
        <v>-387748.06</v>
      </c>
      <c r="L162">
        <v>33.710622000000001</v>
      </c>
      <c r="M162">
        <v>-361.38970999999998</v>
      </c>
      <c r="N162">
        <v>76.592200000000005</v>
      </c>
      <c r="O162">
        <v>65.063939000000005</v>
      </c>
      <c r="P162">
        <v>0</v>
      </c>
      <c r="R162">
        <f t="shared" si="10"/>
        <v>3.9288572179500001</v>
      </c>
      <c r="S162">
        <f t="shared" si="8"/>
        <v>-3.4157287741500003E-4</v>
      </c>
      <c r="T162">
        <f t="shared" si="9"/>
        <v>3.6617812365749998E-3</v>
      </c>
      <c r="U162">
        <f t="shared" si="11"/>
        <v>0.26739696732026147</v>
      </c>
    </row>
    <row r="163" spans="2:21" x14ac:dyDescent="0.3">
      <c r="B163">
        <v>77000</v>
      </c>
      <c r="C163">
        <v>1.54E-2</v>
      </c>
      <c r="D163">
        <v>-4.1092578999999997E-3</v>
      </c>
      <c r="E163">
        <v>0</v>
      </c>
      <c r="F163">
        <v>1.0498726</v>
      </c>
      <c r="G163">
        <v>9.6099712000000004</v>
      </c>
      <c r="H163">
        <v>5.3261582000000001</v>
      </c>
      <c r="I163">
        <v>4.1210554000000004</v>
      </c>
      <c r="J163">
        <v>6.0785154999999994E-14</v>
      </c>
      <c r="K163">
        <v>-390723.73</v>
      </c>
      <c r="L163">
        <v>340.98149999999998</v>
      </c>
      <c r="M163">
        <v>-335.92941999999999</v>
      </c>
      <c r="N163">
        <v>76.599744000000001</v>
      </c>
      <c r="O163">
        <v>65.062757000000005</v>
      </c>
      <c r="P163">
        <v>0</v>
      </c>
      <c r="R163">
        <f t="shared" si="10"/>
        <v>3.9590081942249999</v>
      </c>
      <c r="S163">
        <f t="shared" si="8"/>
        <v>-3.4549950487499999E-3</v>
      </c>
      <c r="T163">
        <f t="shared" si="9"/>
        <v>3.4038048481499997E-3</v>
      </c>
      <c r="U163">
        <f t="shared" si="11"/>
        <v>0.26683492857142854</v>
      </c>
    </row>
    <row r="164" spans="2:21" x14ac:dyDescent="0.3">
      <c r="B164">
        <v>77500</v>
      </c>
      <c r="C164">
        <v>1.55E-2</v>
      </c>
      <c r="D164">
        <v>-4.1141696000000002E-3</v>
      </c>
      <c r="E164">
        <v>0</v>
      </c>
      <c r="F164">
        <v>0.98691613</v>
      </c>
      <c r="G164">
        <v>9.7139168999999992</v>
      </c>
      <c r="H164">
        <v>5.3744579000000003</v>
      </c>
      <c r="I164">
        <v>4.1864613000000004</v>
      </c>
      <c r="J164">
        <v>5.9265258999999998E-14</v>
      </c>
      <c r="K164">
        <v>-392878.51</v>
      </c>
      <c r="L164">
        <v>-776.43706999999995</v>
      </c>
      <c r="M164">
        <v>-275.61577</v>
      </c>
      <c r="N164">
        <v>76.607287999999997</v>
      </c>
      <c r="O164">
        <v>65.062436000000005</v>
      </c>
      <c r="P164">
        <v>0</v>
      </c>
      <c r="R164">
        <f t="shared" si="10"/>
        <v>3.9808415025750001</v>
      </c>
      <c r="S164">
        <f t="shared" si="8"/>
        <v>7.867248611774999E-3</v>
      </c>
      <c r="T164">
        <f t="shared" si="9"/>
        <v>2.7926767895250001E-3</v>
      </c>
      <c r="U164">
        <f t="shared" si="11"/>
        <v>0.26543029677419355</v>
      </c>
    </row>
    <row r="165" spans="2:21" x14ac:dyDescent="0.3">
      <c r="B165">
        <v>78000</v>
      </c>
      <c r="C165">
        <v>1.5599999999999999E-2</v>
      </c>
      <c r="D165">
        <v>-4.1978878999999998E-3</v>
      </c>
      <c r="E165">
        <v>0</v>
      </c>
      <c r="F165">
        <v>0.98647171</v>
      </c>
      <c r="G165">
        <v>9.8367819000000001</v>
      </c>
      <c r="H165">
        <v>5.4381459999999997</v>
      </c>
      <c r="I165">
        <v>4.2457072</v>
      </c>
      <c r="J165">
        <v>6.0448978999999998E-14</v>
      </c>
      <c r="K165">
        <v>-395373.55</v>
      </c>
      <c r="L165">
        <v>1230.4059</v>
      </c>
      <c r="M165">
        <v>-208.37956</v>
      </c>
      <c r="N165">
        <v>76.614832000000007</v>
      </c>
      <c r="O165">
        <v>65.056967</v>
      </c>
      <c r="P165">
        <v>0</v>
      </c>
      <c r="R165">
        <f t="shared" si="10"/>
        <v>4.0061224953750001</v>
      </c>
      <c r="S165">
        <f t="shared" si="8"/>
        <v>-1.246708778175E-2</v>
      </c>
      <c r="T165">
        <f t="shared" si="9"/>
        <v>2.1114058917000001E-3</v>
      </c>
      <c r="U165">
        <f t="shared" si="11"/>
        <v>0.26909537820512819</v>
      </c>
    </row>
    <row r="166" spans="2:21" x14ac:dyDescent="0.3">
      <c r="B166">
        <v>78500</v>
      </c>
      <c r="C166">
        <v>1.5699999999999999E-2</v>
      </c>
      <c r="D166">
        <v>-4.1280858000000004E-3</v>
      </c>
      <c r="E166">
        <v>0</v>
      </c>
      <c r="F166">
        <v>0.98275296000000001</v>
      </c>
      <c r="G166">
        <v>9.9612578999999997</v>
      </c>
      <c r="H166">
        <v>5.5365225999999996</v>
      </c>
      <c r="I166">
        <v>4.2723830999999999</v>
      </c>
      <c r="J166">
        <v>5.9352523000000001E-14</v>
      </c>
      <c r="K166">
        <v>-398232.22</v>
      </c>
      <c r="L166">
        <v>-1645.3056999999999</v>
      </c>
      <c r="M166">
        <v>-140.91354999999999</v>
      </c>
      <c r="N166">
        <v>76.622375000000005</v>
      </c>
      <c r="O166">
        <v>65.061526999999998</v>
      </c>
      <c r="P166">
        <v>0</v>
      </c>
      <c r="R166">
        <f t="shared" si="10"/>
        <v>4.0350879691500001</v>
      </c>
      <c r="S166">
        <f t="shared" si="8"/>
        <v>1.667106000525E-2</v>
      </c>
      <c r="T166">
        <f t="shared" si="9"/>
        <v>1.4278065453749999E-3</v>
      </c>
      <c r="U166">
        <f t="shared" si="11"/>
        <v>0.26293540127388537</v>
      </c>
    </row>
    <row r="167" spans="2:21" x14ac:dyDescent="0.3">
      <c r="B167">
        <v>79000</v>
      </c>
      <c r="C167">
        <v>1.5800000000000002E-2</v>
      </c>
      <c r="D167">
        <v>-4.2803127999999999E-3</v>
      </c>
      <c r="E167">
        <v>0</v>
      </c>
      <c r="F167">
        <v>1.0065785</v>
      </c>
      <c r="G167">
        <v>10.092938</v>
      </c>
      <c r="H167">
        <v>5.5596969999999999</v>
      </c>
      <c r="I167">
        <v>4.3771953000000003</v>
      </c>
      <c r="J167">
        <v>6.2138071999999994E-14</v>
      </c>
      <c r="K167">
        <v>-400001.18</v>
      </c>
      <c r="L167">
        <v>1903.0661</v>
      </c>
      <c r="M167">
        <v>-64.910899999999998</v>
      </c>
      <c r="N167">
        <v>76.629919000000001</v>
      </c>
      <c r="O167">
        <v>65.051581999999996</v>
      </c>
      <c r="P167">
        <v>0</v>
      </c>
      <c r="R167">
        <f t="shared" si="10"/>
        <v>4.0530119563499998</v>
      </c>
      <c r="S167">
        <f t="shared" si="8"/>
        <v>-1.9282817258249998E-2</v>
      </c>
      <c r="T167">
        <f t="shared" si="9"/>
        <v>6.5770969424999996E-4</v>
      </c>
      <c r="U167">
        <f t="shared" si="11"/>
        <v>0.27090587341772149</v>
      </c>
    </row>
    <row r="168" spans="2:21" x14ac:dyDescent="0.3">
      <c r="B168">
        <v>79500</v>
      </c>
      <c r="C168">
        <v>1.5900000000000001E-2</v>
      </c>
      <c r="D168">
        <v>-4.1663361999999997E-3</v>
      </c>
      <c r="E168">
        <v>0</v>
      </c>
      <c r="F168">
        <v>1.0295694</v>
      </c>
      <c r="G168">
        <v>10.200782</v>
      </c>
      <c r="H168">
        <v>5.6830615</v>
      </c>
      <c r="I168">
        <v>4.3581108999999998</v>
      </c>
      <c r="J168">
        <v>6.0291104999999998E-14</v>
      </c>
      <c r="K168">
        <v>-403423.59</v>
      </c>
      <c r="L168">
        <v>-1851.6407999999999</v>
      </c>
      <c r="M168">
        <v>25.950005000000001</v>
      </c>
      <c r="N168">
        <v>76.637462999999997</v>
      </c>
      <c r="O168">
        <v>65.059027999999998</v>
      </c>
      <c r="P168">
        <v>0</v>
      </c>
      <c r="R168">
        <f t="shared" si="10"/>
        <v>4.0876895256750005</v>
      </c>
      <c r="S168">
        <f t="shared" si="8"/>
        <v>1.8761750405999998E-2</v>
      </c>
      <c r="T168">
        <f t="shared" si="9"/>
        <v>-2.6293842566250003E-4</v>
      </c>
      <c r="U168">
        <f t="shared" si="11"/>
        <v>0.26203372327044022</v>
      </c>
    </row>
    <row r="169" spans="2:21" x14ac:dyDescent="0.3">
      <c r="B169">
        <v>80000</v>
      </c>
      <c r="C169">
        <v>1.6E-2</v>
      </c>
      <c r="D169">
        <v>-4.3210250999999996E-3</v>
      </c>
      <c r="E169">
        <v>0</v>
      </c>
      <c r="F169">
        <v>0.96214018999999995</v>
      </c>
      <c r="G169">
        <v>10.325828</v>
      </c>
      <c r="H169">
        <v>5.6959463000000001</v>
      </c>
      <c r="I169">
        <v>4.4807245</v>
      </c>
      <c r="J169">
        <v>5.9453774999999997E-14</v>
      </c>
      <c r="K169">
        <v>-404948.41</v>
      </c>
      <c r="L169">
        <v>1492.8317</v>
      </c>
      <c r="M169">
        <v>106.44242</v>
      </c>
      <c r="N169">
        <v>76.645007000000007</v>
      </c>
      <c r="O169">
        <v>65.048922000000005</v>
      </c>
      <c r="P169">
        <v>0</v>
      </c>
      <c r="R169">
        <f t="shared" si="10"/>
        <v>4.1031397643249994</v>
      </c>
      <c r="S169">
        <f t="shared" si="8"/>
        <v>-1.512611720025E-2</v>
      </c>
      <c r="T169">
        <f t="shared" si="9"/>
        <v>-1.0785278206499999E-3</v>
      </c>
      <c r="U169">
        <f t="shared" si="11"/>
        <v>0.27006406875</v>
      </c>
    </row>
    <row r="170" spans="2:21" x14ac:dyDescent="0.3">
      <c r="B170">
        <v>80500</v>
      </c>
      <c r="C170">
        <v>1.61E-2</v>
      </c>
      <c r="D170">
        <v>-4.2465793999999996E-3</v>
      </c>
      <c r="E170">
        <v>0</v>
      </c>
      <c r="F170">
        <v>1.018402</v>
      </c>
      <c r="G170">
        <v>10.455506</v>
      </c>
      <c r="H170">
        <v>5.8256243000000003</v>
      </c>
      <c r="I170">
        <v>4.4720027</v>
      </c>
      <c r="J170">
        <v>5.9755090000000003E-14</v>
      </c>
      <c r="K170">
        <v>-408259.79</v>
      </c>
      <c r="L170">
        <v>-987.05206999999996</v>
      </c>
      <c r="M170">
        <v>219.37258</v>
      </c>
      <c r="N170">
        <v>76.652551000000003</v>
      </c>
      <c r="O170">
        <v>65.053786000000002</v>
      </c>
      <c r="P170">
        <v>0</v>
      </c>
      <c r="R170">
        <f t="shared" si="10"/>
        <v>4.1366923221749996</v>
      </c>
      <c r="S170">
        <f t="shared" si="8"/>
        <v>1.0001305099275E-2</v>
      </c>
      <c r="T170">
        <f t="shared" si="9"/>
        <v>-2.22279266685E-3</v>
      </c>
      <c r="U170">
        <f t="shared" si="11"/>
        <v>0.26376269565217392</v>
      </c>
    </row>
    <row r="171" spans="2:21" x14ac:dyDescent="0.3">
      <c r="B171">
        <v>81000</v>
      </c>
      <c r="C171">
        <v>1.6199999999999999E-2</v>
      </c>
      <c r="D171">
        <v>-4.3366762000000003E-3</v>
      </c>
      <c r="E171">
        <v>0</v>
      </c>
      <c r="F171">
        <v>0.96279990999999998</v>
      </c>
      <c r="G171">
        <v>10.583961</v>
      </c>
      <c r="H171">
        <v>5.8586479999999996</v>
      </c>
      <c r="I171">
        <v>4.5760535999999998</v>
      </c>
      <c r="J171">
        <v>6.0351946000000006E-14</v>
      </c>
      <c r="K171">
        <v>-410142.9</v>
      </c>
      <c r="L171">
        <v>523.92377999999997</v>
      </c>
      <c r="M171">
        <v>321.70006000000001</v>
      </c>
      <c r="N171">
        <v>76.660094000000001</v>
      </c>
      <c r="O171">
        <v>65.047899999999998</v>
      </c>
      <c r="P171">
        <v>0</v>
      </c>
      <c r="R171">
        <f t="shared" si="10"/>
        <v>4.1557729342499998</v>
      </c>
      <c r="S171">
        <f t="shared" si="8"/>
        <v>-5.30865770085E-3</v>
      </c>
      <c r="T171">
        <f t="shared" si="9"/>
        <v>-3.25962585795E-3</v>
      </c>
      <c r="U171">
        <f t="shared" si="11"/>
        <v>0.26769606172839511</v>
      </c>
    </row>
    <row r="172" spans="2:21" x14ac:dyDescent="0.3">
      <c r="B172">
        <v>81500</v>
      </c>
      <c r="C172">
        <v>1.6299999999999999E-2</v>
      </c>
      <c r="D172">
        <v>-4.3300075E-3</v>
      </c>
      <c r="E172">
        <v>0</v>
      </c>
      <c r="F172">
        <v>0.97188733999999999</v>
      </c>
      <c r="G172">
        <v>10.705558</v>
      </c>
      <c r="H172">
        <v>5.9516473000000003</v>
      </c>
      <c r="I172">
        <v>4.6032425999999997</v>
      </c>
      <c r="J172">
        <v>5.9651838999999994E-14</v>
      </c>
      <c r="K172">
        <v>-412953.46</v>
      </c>
      <c r="L172">
        <v>-207.30280999999999</v>
      </c>
      <c r="M172">
        <v>411.41573</v>
      </c>
      <c r="N172">
        <v>76.667637999999997</v>
      </c>
      <c r="O172">
        <v>65.048334999999994</v>
      </c>
      <c r="P172">
        <v>0</v>
      </c>
      <c r="R172">
        <f t="shared" si="10"/>
        <v>4.1842509334500004</v>
      </c>
      <c r="S172">
        <f t="shared" si="8"/>
        <v>2.1004957223250001E-3</v>
      </c>
      <c r="T172">
        <f t="shared" si="9"/>
        <v>-4.1686698842250004E-3</v>
      </c>
      <c r="U172">
        <f t="shared" si="11"/>
        <v>0.26564463190184051</v>
      </c>
    </row>
    <row r="173" spans="2:21" x14ac:dyDescent="0.3">
      <c r="B173">
        <v>82000</v>
      </c>
      <c r="C173">
        <v>1.6400000000000001E-2</v>
      </c>
      <c r="D173">
        <v>-4.3636163000000004E-3</v>
      </c>
      <c r="E173">
        <v>0</v>
      </c>
      <c r="F173">
        <v>0.98505832999999998</v>
      </c>
      <c r="G173">
        <v>10.828222</v>
      </c>
      <c r="H173">
        <v>6.0154056000000002</v>
      </c>
      <c r="I173">
        <v>4.6601062999999998</v>
      </c>
      <c r="J173">
        <v>5.9612980999999998E-14</v>
      </c>
      <c r="K173">
        <v>-415383.7</v>
      </c>
      <c r="L173">
        <v>-1.6374955</v>
      </c>
      <c r="M173">
        <v>446.06817000000001</v>
      </c>
      <c r="N173">
        <v>76.675182000000007</v>
      </c>
      <c r="O173">
        <v>65.046139999999994</v>
      </c>
      <c r="P173">
        <v>0</v>
      </c>
      <c r="R173">
        <f t="shared" si="10"/>
        <v>4.2088753402500005</v>
      </c>
      <c r="S173">
        <f t="shared" si="8"/>
        <v>1.6591923153750001E-5</v>
      </c>
      <c r="T173">
        <f t="shared" si="9"/>
        <v>-4.519785732525E-3</v>
      </c>
      <c r="U173">
        <f t="shared" si="11"/>
        <v>0.26607416463414635</v>
      </c>
    </row>
    <row r="174" spans="2:21" x14ac:dyDescent="0.3">
      <c r="B174">
        <v>82500</v>
      </c>
      <c r="C174">
        <v>1.6500000000000001E-2</v>
      </c>
      <c r="D174">
        <v>-4.3991593999999998E-3</v>
      </c>
      <c r="E174">
        <v>0</v>
      </c>
      <c r="F174">
        <v>0.95948816000000003</v>
      </c>
      <c r="G174">
        <v>10.956374</v>
      </c>
      <c r="H174">
        <v>6.0825604999999996</v>
      </c>
      <c r="I174">
        <v>4.7250683000000002</v>
      </c>
      <c r="J174">
        <v>5.8155479999999995E-14</v>
      </c>
      <c r="K174">
        <v>-417680.47</v>
      </c>
      <c r="L174">
        <v>133.33449999999999</v>
      </c>
      <c r="M174">
        <v>425.67820999999998</v>
      </c>
      <c r="N174">
        <v>76.682726000000002</v>
      </c>
      <c r="O174">
        <v>65.043818000000002</v>
      </c>
      <c r="P174">
        <v>0</v>
      </c>
      <c r="R174">
        <f t="shared" si="10"/>
        <v>4.2321473622749997</v>
      </c>
      <c r="S174">
        <f t="shared" si="8"/>
        <v>-1.3510118212499999E-3</v>
      </c>
      <c r="T174">
        <f t="shared" si="9"/>
        <v>-4.313184462825E-3</v>
      </c>
      <c r="U174">
        <f t="shared" si="11"/>
        <v>0.26661572121212118</v>
      </c>
    </row>
    <row r="175" spans="2:21" x14ac:dyDescent="0.3">
      <c r="B175">
        <v>83000</v>
      </c>
      <c r="C175">
        <v>1.66E-2</v>
      </c>
      <c r="D175">
        <v>-4.4021572000000004E-3</v>
      </c>
      <c r="E175">
        <v>0</v>
      </c>
      <c r="F175">
        <v>1.0567574</v>
      </c>
      <c r="G175">
        <v>11.090156</v>
      </c>
      <c r="H175">
        <v>6.1714105000000004</v>
      </c>
      <c r="I175">
        <v>4.7549206000000002</v>
      </c>
      <c r="J175">
        <v>6.0235372000000004E-14</v>
      </c>
      <c r="K175">
        <v>-420525.76</v>
      </c>
      <c r="L175">
        <v>-228.02314999999999</v>
      </c>
      <c r="M175">
        <v>340.77884999999998</v>
      </c>
      <c r="N175">
        <v>76.690269999999998</v>
      </c>
      <c r="O175">
        <v>65.043621999999999</v>
      </c>
      <c r="P175">
        <v>0</v>
      </c>
      <c r="R175">
        <f t="shared" si="10"/>
        <v>4.2609772632</v>
      </c>
      <c r="S175">
        <f t="shared" si="8"/>
        <v>2.3104445673749999E-3</v>
      </c>
      <c r="T175">
        <f t="shared" si="9"/>
        <v>-3.4529416976249996E-3</v>
      </c>
      <c r="U175">
        <f t="shared" si="11"/>
        <v>0.26519019277108435</v>
      </c>
    </row>
    <row r="176" spans="2:21" x14ac:dyDescent="0.3">
      <c r="B176">
        <v>83500</v>
      </c>
      <c r="C176">
        <v>1.67E-2</v>
      </c>
      <c r="D176">
        <v>-4.4598201000000002E-3</v>
      </c>
      <c r="E176">
        <v>0</v>
      </c>
      <c r="F176">
        <v>1.0447869000000001</v>
      </c>
      <c r="G176">
        <v>11.223077999999999</v>
      </c>
      <c r="H176">
        <v>6.2148165000000004</v>
      </c>
      <c r="I176">
        <v>4.8462921000000003</v>
      </c>
      <c r="J176">
        <v>5.9841242999999998E-14</v>
      </c>
      <c r="K176">
        <v>-422504.99</v>
      </c>
      <c r="L176">
        <v>288.65607999999997</v>
      </c>
      <c r="M176">
        <v>191.32426000000001</v>
      </c>
      <c r="N176">
        <v>76.697812999999996</v>
      </c>
      <c r="O176">
        <v>65.039855000000003</v>
      </c>
      <c r="P176">
        <v>0</v>
      </c>
      <c r="R176">
        <f t="shared" si="10"/>
        <v>4.2810318111749996</v>
      </c>
      <c r="S176">
        <f t="shared" si="8"/>
        <v>-2.9248077305999995E-3</v>
      </c>
      <c r="T176">
        <f t="shared" si="9"/>
        <v>-1.9385930644500002E-3</v>
      </c>
      <c r="U176">
        <f t="shared" si="11"/>
        <v>0.26705509580838327</v>
      </c>
    </row>
    <row r="177" spans="2:21" x14ac:dyDescent="0.3">
      <c r="B177">
        <v>84000</v>
      </c>
      <c r="C177">
        <v>1.6799999999999999E-2</v>
      </c>
      <c r="D177">
        <v>-4.44868E-3</v>
      </c>
      <c r="E177">
        <v>0</v>
      </c>
      <c r="F177">
        <v>1.0528706000000001</v>
      </c>
      <c r="G177">
        <v>11.346791</v>
      </c>
      <c r="H177">
        <v>6.3232873999999999</v>
      </c>
      <c r="I177">
        <v>4.8602812000000002</v>
      </c>
      <c r="J177">
        <v>5.9336535999999995E-14</v>
      </c>
      <c r="K177">
        <v>-425563.73</v>
      </c>
      <c r="L177">
        <v>-304.65219999999999</v>
      </c>
      <c r="M177">
        <v>5.3336068000000001</v>
      </c>
      <c r="N177">
        <v>76.705357000000006</v>
      </c>
      <c r="O177">
        <v>65.040582000000001</v>
      </c>
      <c r="P177">
        <v>0</v>
      </c>
      <c r="R177">
        <f t="shared" si="10"/>
        <v>4.3120244942249997</v>
      </c>
      <c r="S177">
        <f t="shared" si="8"/>
        <v>3.0868884164999997E-3</v>
      </c>
      <c r="T177">
        <f t="shared" si="9"/>
        <v>-5.4042770901E-5</v>
      </c>
      <c r="U177">
        <f t="shared" si="11"/>
        <v>0.26480238095238096</v>
      </c>
    </row>
    <row r="178" spans="2:21" x14ac:dyDescent="0.3">
      <c r="B178">
        <v>84500</v>
      </c>
      <c r="C178">
        <v>1.6899999999999998E-2</v>
      </c>
      <c r="D178">
        <v>-4.5123749999999999E-3</v>
      </c>
      <c r="E178">
        <v>0</v>
      </c>
      <c r="F178">
        <v>0.95204476000000005</v>
      </c>
      <c r="G178">
        <v>11.473117999999999</v>
      </c>
      <c r="H178">
        <v>6.3647039999999997</v>
      </c>
      <c r="I178">
        <v>4.9608220999999997</v>
      </c>
      <c r="J178">
        <v>5.9760640999999994E-14</v>
      </c>
      <c r="K178">
        <v>-427448.05</v>
      </c>
      <c r="L178">
        <v>307.62777</v>
      </c>
      <c r="M178">
        <v>-186.18979999999999</v>
      </c>
      <c r="N178">
        <v>76.712901000000002</v>
      </c>
      <c r="O178">
        <v>65.036421000000004</v>
      </c>
      <c r="P178">
        <v>0</v>
      </c>
      <c r="R178">
        <f t="shared" si="10"/>
        <v>4.3311173666249996</v>
      </c>
      <c r="S178">
        <f t="shared" si="8"/>
        <v>-3.1170383795249999E-3</v>
      </c>
      <c r="T178">
        <f t="shared" si="9"/>
        <v>1.8865681485E-3</v>
      </c>
      <c r="U178">
        <f t="shared" si="11"/>
        <v>0.26700443786982253</v>
      </c>
    </row>
    <row r="179" spans="2:21" x14ac:dyDescent="0.3">
      <c r="B179">
        <v>85000</v>
      </c>
      <c r="C179">
        <v>1.7000000000000001E-2</v>
      </c>
      <c r="D179">
        <v>-4.5005855000000003E-3</v>
      </c>
      <c r="E179">
        <v>0</v>
      </c>
      <c r="F179">
        <v>0.98230346000000002</v>
      </c>
      <c r="G179">
        <v>11.603348</v>
      </c>
      <c r="H179">
        <v>6.4762079000000004</v>
      </c>
      <c r="I179">
        <v>4.9748577000000003</v>
      </c>
      <c r="J179">
        <v>5.7102989000000002E-14</v>
      </c>
      <c r="K179">
        <v>-430491.88</v>
      </c>
      <c r="L179">
        <v>-314.77731</v>
      </c>
      <c r="M179">
        <v>-325.76240999999999</v>
      </c>
      <c r="N179">
        <v>76.720444999999998</v>
      </c>
      <c r="O179">
        <v>65.037191000000007</v>
      </c>
      <c r="P179">
        <v>0</v>
      </c>
      <c r="R179">
        <f t="shared" si="10"/>
        <v>4.3619589741000002</v>
      </c>
      <c r="S179">
        <f t="shared" si="8"/>
        <v>3.1894810935749998E-3</v>
      </c>
      <c r="T179">
        <f t="shared" si="9"/>
        <v>3.300787619325E-3</v>
      </c>
      <c r="U179">
        <f t="shared" si="11"/>
        <v>0.26474032352941174</v>
      </c>
    </row>
    <row r="180" spans="2:21" x14ac:dyDescent="0.3">
      <c r="B180">
        <v>85500</v>
      </c>
      <c r="C180">
        <v>1.7100000000000001E-2</v>
      </c>
      <c r="D180">
        <v>-4.5634921000000002E-3</v>
      </c>
      <c r="E180">
        <v>0</v>
      </c>
      <c r="F180">
        <v>0.97030194999999997</v>
      </c>
      <c r="G180">
        <v>11.739333999999999</v>
      </c>
      <c r="H180">
        <v>6.5142851999999998</v>
      </c>
      <c r="I180">
        <v>5.0746270000000004</v>
      </c>
      <c r="J180">
        <v>5.9122262999999995E-14</v>
      </c>
      <c r="K180">
        <v>-432446.54</v>
      </c>
      <c r="L180">
        <v>343.31299000000001</v>
      </c>
      <c r="M180">
        <v>-407.03129999999999</v>
      </c>
      <c r="N180">
        <v>76.727988999999994</v>
      </c>
      <c r="O180">
        <v>65.033081999999993</v>
      </c>
      <c r="P180">
        <v>0</v>
      </c>
      <c r="R180">
        <f t="shared" si="10"/>
        <v>4.3817645665499994</v>
      </c>
      <c r="S180">
        <f t="shared" si="8"/>
        <v>-3.4786188711749999E-3</v>
      </c>
      <c r="T180">
        <f t="shared" si="9"/>
        <v>4.1242446472500001E-3</v>
      </c>
      <c r="U180">
        <f t="shared" si="11"/>
        <v>0.26687088304093565</v>
      </c>
    </row>
    <row r="181" spans="2:21" x14ac:dyDescent="0.3">
      <c r="B181">
        <v>86000</v>
      </c>
      <c r="C181">
        <v>1.72E-2</v>
      </c>
      <c r="D181">
        <v>-4.5495850999999997E-3</v>
      </c>
      <c r="E181">
        <v>0</v>
      </c>
      <c r="F181">
        <v>1.0404259</v>
      </c>
      <c r="G181">
        <v>11.875655</v>
      </c>
      <c r="H181">
        <v>6.6234313</v>
      </c>
      <c r="I181">
        <v>5.0909310999999997</v>
      </c>
      <c r="J181">
        <v>5.8765214999999995E-14</v>
      </c>
      <c r="K181">
        <v>-435425.68</v>
      </c>
      <c r="L181">
        <v>-417.85160000000002</v>
      </c>
      <c r="M181">
        <v>-373.28489999999999</v>
      </c>
      <c r="N181">
        <v>76.735532000000006</v>
      </c>
      <c r="O181">
        <v>65.033990000000003</v>
      </c>
      <c r="P181">
        <v>0</v>
      </c>
      <c r="R181">
        <f t="shared" si="10"/>
        <v>4.4119507025999996</v>
      </c>
      <c r="S181">
        <f t="shared" si="8"/>
        <v>4.2338813370000001E-3</v>
      </c>
      <c r="T181">
        <f t="shared" si="9"/>
        <v>3.7823092492499997E-3</v>
      </c>
      <c r="U181">
        <f t="shared" si="11"/>
        <v>0.26451076162790693</v>
      </c>
    </row>
    <row r="182" spans="2:21" x14ac:dyDescent="0.3">
      <c r="B182">
        <v>86500</v>
      </c>
      <c r="C182">
        <v>1.7299999999999999E-2</v>
      </c>
      <c r="D182">
        <v>-4.6222998999999997E-3</v>
      </c>
      <c r="E182">
        <v>0</v>
      </c>
      <c r="F182">
        <v>1.0045693</v>
      </c>
      <c r="G182">
        <v>12.007289999999999</v>
      </c>
      <c r="H182">
        <v>6.6662546999999996</v>
      </c>
      <c r="I182">
        <v>5.1853011000000002</v>
      </c>
      <c r="J182">
        <v>6.0746075E-14</v>
      </c>
      <c r="K182">
        <v>-437394.74</v>
      </c>
      <c r="L182">
        <v>607.53629000000001</v>
      </c>
      <c r="M182">
        <v>-243.04423</v>
      </c>
      <c r="N182">
        <v>76.743076000000002</v>
      </c>
      <c r="O182">
        <v>65.029240000000001</v>
      </c>
      <c r="P182">
        <v>0</v>
      </c>
      <c r="R182">
        <f t="shared" si="10"/>
        <v>4.4319022030499999</v>
      </c>
      <c r="S182">
        <f t="shared" si="8"/>
        <v>-6.1558614584249997E-3</v>
      </c>
      <c r="T182">
        <f t="shared" si="9"/>
        <v>2.4626456604750001E-3</v>
      </c>
      <c r="U182">
        <f t="shared" si="11"/>
        <v>0.26718496531791908</v>
      </c>
    </row>
    <row r="183" spans="2:21" x14ac:dyDescent="0.3">
      <c r="B183">
        <v>87000</v>
      </c>
      <c r="C183">
        <v>1.7399999999999999E-2</v>
      </c>
      <c r="D183">
        <v>-4.5864425000000002E-3</v>
      </c>
      <c r="E183">
        <v>0</v>
      </c>
      <c r="F183">
        <v>1.0025504000000001</v>
      </c>
      <c r="G183">
        <v>12.136426</v>
      </c>
      <c r="H183">
        <v>6.77834</v>
      </c>
      <c r="I183">
        <v>5.2026645</v>
      </c>
      <c r="J183">
        <v>5.9104055000000004E-14</v>
      </c>
      <c r="K183">
        <v>-440389.07</v>
      </c>
      <c r="L183">
        <v>-902.12116000000003</v>
      </c>
      <c r="M183">
        <v>-21.556965999999999</v>
      </c>
      <c r="N183">
        <v>76.750619999999998</v>
      </c>
      <c r="O183">
        <v>65.031582</v>
      </c>
      <c r="P183">
        <v>0</v>
      </c>
      <c r="R183">
        <f t="shared" si="10"/>
        <v>4.4622422517749998</v>
      </c>
      <c r="S183">
        <f t="shared" si="8"/>
        <v>9.1407426537000007E-3</v>
      </c>
      <c r="T183">
        <f t="shared" si="9"/>
        <v>2.1842595799499999E-4</v>
      </c>
      <c r="U183">
        <f t="shared" si="11"/>
        <v>0.26358864942528737</v>
      </c>
    </row>
    <row r="184" spans="2:21" x14ac:dyDescent="0.3">
      <c r="B184">
        <v>87500</v>
      </c>
      <c r="C184">
        <v>1.7500000000000002E-2</v>
      </c>
      <c r="D184">
        <v>-4.6915843999999996E-3</v>
      </c>
      <c r="E184">
        <v>0</v>
      </c>
      <c r="F184">
        <v>0.95824255999999997</v>
      </c>
      <c r="G184">
        <v>12.265942000000001</v>
      </c>
      <c r="H184">
        <v>6.8162640999999997</v>
      </c>
      <c r="I184">
        <v>5.3011251000000001</v>
      </c>
      <c r="J184">
        <v>6.2035931999999994E-14</v>
      </c>
      <c r="K184">
        <v>-442336.25</v>
      </c>
      <c r="L184">
        <v>1213.4993999999999</v>
      </c>
      <c r="M184">
        <v>214.35086000000001</v>
      </c>
      <c r="N184">
        <v>76.758163999999994</v>
      </c>
      <c r="O184">
        <v>65.024713000000006</v>
      </c>
      <c r="P184">
        <v>0</v>
      </c>
      <c r="R184">
        <f t="shared" si="10"/>
        <v>4.4819720531250002</v>
      </c>
      <c r="S184">
        <f t="shared" si="8"/>
        <v>-1.2295782670499999E-2</v>
      </c>
      <c r="T184">
        <f t="shared" si="9"/>
        <v>-2.1719100889500001E-3</v>
      </c>
      <c r="U184">
        <f t="shared" si="11"/>
        <v>0.26809053714285708</v>
      </c>
    </row>
    <row r="185" spans="2:21" x14ac:dyDescent="0.3">
      <c r="B185">
        <v>88000</v>
      </c>
      <c r="C185">
        <v>1.7600000000000001E-2</v>
      </c>
      <c r="D185">
        <v>-4.6197742000000002E-3</v>
      </c>
      <c r="E185">
        <v>0</v>
      </c>
      <c r="F185">
        <v>1.0284629999999999</v>
      </c>
      <c r="G185">
        <v>12.411534</v>
      </c>
      <c r="H185">
        <v>6.9364618</v>
      </c>
      <c r="I185">
        <v>5.3156337999999996</v>
      </c>
      <c r="J185">
        <v>5.8651749999999995E-14</v>
      </c>
      <c r="K185">
        <v>-445380.02</v>
      </c>
      <c r="L185">
        <v>-1467.8054999999999</v>
      </c>
      <c r="M185">
        <v>385.42423000000002</v>
      </c>
      <c r="N185">
        <v>76.765708000000004</v>
      </c>
      <c r="O185">
        <v>65.029404999999997</v>
      </c>
      <c r="P185">
        <v>0</v>
      </c>
      <c r="R185">
        <f t="shared" si="10"/>
        <v>4.5128130526500003</v>
      </c>
      <c r="S185">
        <f t="shared" si="8"/>
        <v>1.4872539228749999E-2</v>
      </c>
      <c r="T185">
        <f t="shared" si="9"/>
        <v>-3.9053110104750001E-3</v>
      </c>
      <c r="U185">
        <f t="shared" si="11"/>
        <v>0.26248717045454545</v>
      </c>
    </row>
    <row r="186" spans="2:21" x14ac:dyDescent="0.3">
      <c r="B186">
        <v>88500</v>
      </c>
      <c r="C186">
        <v>1.77E-2</v>
      </c>
      <c r="D186">
        <v>-4.7560794999999996E-3</v>
      </c>
      <c r="E186">
        <v>0</v>
      </c>
      <c r="F186">
        <v>1.0011569</v>
      </c>
      <c r="G186">
        <v>12.553077</v>
      </c>
      <c r="H186">
        <v>6.9763561999999997</v>
      </c>
      <c r="I186">
        <v>5.4215150000000003</v>
      </c>
      <c r="J186">
        <v>6.0381256000000005E-14</v>
      </c>
      <c r="K186">
        <v>-447238.66</v>
      </c>
      <c r="L186">
        <v>1641.6053999999999</v>
      </c>
      <c r="M186">
        <v>394.41710999999998</v>
      </c>
      <c r="N186">
        <v>76.773251000000002</v>
      </c>
      <c r="O186">
        <v>65.020499999999998</v>
      </c>
      <c r="P186">
        <v>0</v>
      </c>
      <c r="R186">
        <f t="shared" si="10"/>
        <v>4.5316457224499995</v>
      </c>
      <c r="S186">
        <f t="shared" si="8"/>
        <v>-1.6633566715499998E-2</v>
      </c>
      <c r="T186">
        <f t="shared" si="9"/>
        <v>-3.9964313670749997E-3</v>
      </c>
      <c r="U186">
        <f t="shared" si="11"/>
        <v>0.26870505649717513</v>
      </c>
    </row>
    <row r="187" spans="2:21" x14ac:dyDescent="0.3">
      <c r="B187">
        <v>89000</v>
      </c>
      <c r="C187">
        <v>1.78E-2</v>
      </c>
      <c r="D187">
        <v>-4.6632595999999997E-3</v>
      </c>
      <c r="E187">
        <v>0</v>
      </c>
      <c r="F187">
        <v>1.0306607000000001</v>
      </c>
      <c r="G187">
        <v>12.693648</v>
      </c>
      <c r="H187">
        <v>7.0992382999999997</v>
      </c>
      <c r="I187">
        <v>5.4346303999999996</v>
      </c>
      <c r="J187">
        <v>6.1813220999999998E-14</v>
      </c>
      <c r="K187">
        <v>-450325.99</v>
      </c>
      <c r="L187">
        <v>-1723.2236</v>
      </c>
      <c r="M187">
        <v>237.16641999999999</v>
      </c>
      <c r="N187">
        <v>76.780794999999998</v>
      </c>
      <c r="O187">
        <v>65.026563999999993</v>
      </c>
      <c r="P187">
        <v>0</v>
      </c>
      <c r="R187">
        <f t="shared" si="10"/>
        <v>4.5629280936749996</v>
      </c>
      <c r="S187">
        <f t="shared" si="8"/>
        <v>1.7460563126999999E-2</v>
      </c>
      <c r="T187">
        <f t="shared" si="9"/>
        <v>-2.4030887506499999E-3</v>
      </c>
      <c r="U187">
        <f t="shared" si="11"/>
        <v>0.26198087640449436</v>
      </c>
    </row>
    <row r="188" spans="2:21" x14ac:dyDescent="0.3">
      <c r="B188">
        <v>89500</v>
      </c>
      <c r="C188">
        <v>1.7899999999999999E-2</v>
      </c>
      <c r="D188">
        <v>-4.8087505000000003E-3</v>
      </c>
      <c r="E188">
        <v>0</v>
      </c>
      <c r="F188">
        <v>1.0611409999999999</v>
      </c>
      <c r="G188">
        <v>12.835813999999999</v>
      </c>
      <c r="H188">
        <v>7.1310009000000001</v>
      </c>
      <c r="I188">
        <v>5.5403091</v>
      </c>
      <c r="J188">
        <v>5.8504535000000001E-14</v>
      </c>
      <c r="K188">
        <v>-452182.46</v>
      </c>
      <c r="L188">
        <v>1692.3997999999999</v>
      </c>
      <c r="M188">
        <v>-54.321069999999999</v>
      </c>
      <c r="N188">
        <v>76.788338999999993</v>
      </c>
      <c r="O188">
        <v>65.017059000000003</v>
      </c>
      <c r="P188">
        <v>0</v>
      </c>
      <c r="R188">
        <f t="shared" si="10"/>
        <v>4.5817387759499999</v>
      </c>
      <c r="S188">
        <f t="shared" si="8"/>
        <v>-1.7148240973499998E-2</v>
      </c>
      <c r="T188">
        <f t="shared" si="9"/>
        <v>5.5040824177500004E-4</v>
      </c>
      <c r="U188">
        <f t="shared" si="11"/>
        <v>0.26864527932960897</v>
      </c>
    </row>
    <row r="189" spans="2:21" x14ac:dyDescent="0.3">
      <c r="B189">
        <v>90000</v>
      </c>
      <c r="C189">
        <v>1.7999999999999999E-2</v>
      </c>
      <c r="D189">
        <v>-4.7211702000000003E-3</v>
      </c>
      <c r="E189">
        <v>0</v>
      </c>
      <c r="F189">
        <v>1.0066044000000001</v>
      </c>
      <c r="G189">
        <v>12.960635999999999</v>
      </c>
      <c r="H189">
        <v>7.2521711</v>
      </c>
      <c r="I189">
        <v>5.5524148000000002</v>
      </c>
      <c r="J189">
        <v>5.7889248999999996E-14</v>
      </c>
      <c r="K189">
        <v>-455257.73</v>
      </c>
      <c r="L189">
        <v>-1510.4507000000001</v>
      </c>
      <c r="M189">
        <v>-309.68831999999998</v>
      </c>
      <c r="N189">
        <v>76.795883000000003</v>
      </c>
      <c r="O189">
        <v>65.022779999999997</v>
      </c>
      <c r="P189">
        <v>0</v>
      </c>
      <c r="R189">
        <f t="shared" si="10"/>
        <v>4.6128989492249994</v>
      </c>
      <c r="S189">
        <f t="shared" si="8"/>
        <v>1.5304641717750001E-2</v>
      </c>
      <c r="T189">
        <f t="shared" si="9"/>
        <v>3.1379169023999999E-3</v>
      </c>
      <c r="U189">
        <f t="shared" si="11"/>
        <v>0.26228723333333337</v>
      </c>
    </row>
    <row r="190" spans="2:21" x14ac:dyDescent="0.3">
      <c r="B190">
        <v>90500</v>
      </c>
      <c r="C190">
        <v>1.8100000000000002E-2</v>
      </c>
      <c r="D190">
        <v>-4.8414099000000004E-3</v>
      </c>
      <c r="E190">
        <v>0</v>
      </c>
      <c r="F190">
        <v>1.0551773</v>
      </c>
      <c r="G190">
        <v>13.097203</v>
      </c>
      <c r="H190">
        <v>7.2872599999999998</v>
      </c>
      <c r="I190">
        <v>5.6463633</v>
      </c>
      <c r="J190">
        <v>5.9222405000000002E-14</v>
      </c>
      <c r="K190">
        <v>-457203.19</v>
      </c>
      <c r="L190">
        <v>1137.5434</v>
      </c>
      <c r="M190">
        <v>-405.12997000000001</v>
      </c>
      <c r="N190">
        <v>76.803426999999999</v>
      </c>
      <c r="O190">
        <v>65.014925000000005</v>
      </c>
      <c r="P190">
        <v>0</v>
      </c>
      <c r="R190">
        <f t="shared" si="10"/>
        <v>4.6326113226750003</v>
      </c>
      <c r="S190">
        <f t="shared" si="8"/>
        <v>-1.1526158500500001E-2</v>
      </c>
      <c r="T190">
        <f t="shared" si="9"/>
        <v>4.1049794210250004E-3</v>
      </c>
      <c r="U190">
        <f t="shared" si="11"/>
        <v>0.26748120994475139</v>
      </c>
    </row>
    <row r="191" spans="2:21" x14ac:dyDescent="0.3">
      <c r="B191">
        <v>91000</v>
      </c>
      <c r="C191">
        <v>1.8200000000000001E-2</v>
      </c>
      <c r="D191">
        <v>-4.7973846999999998E-3</v>
      </c>
      <c r="E191">
        <v>0</v>
      </c>
      <c r="F191">
        <v>0.98039491999999995</v>
      </c>
      <c r="G191">
        <v>13.244300000000001</v>
      </c>
      <c r="H191">
        <v>7.4139181000000001</v>
      </c>
      <c r="I191">
        <v>5.6783951000000004</v>
      </c>
      <c r="J191">
        <v>6.1593397000000006E-14</v>
      </c>
      <c r="K191">
        <v>-460131.38</v>
      </c>
      <c r="L191">
        <v>-710.22883999999999</v>
      </c>
      <c r="M191">
        <v>-267.14904000000001</v>
      </c>
      <c r="N191">
        <v>76.810969999999998</v>
      </c>
      <c r="O191">
        <v>65.017801000000006</v>
      </c>
      <c r="P191">
        <v>0</v>
      </c>
      <c r="R191">
        <f t="shared" si="10"/>
        <v>4.6622812078500004</v>
      </c>
      <c r="S191">
        <f t="shared" si="8"/>
        <v>7.1963937212999995E-3</v>
      </c>
      <c r="T191">
        <f t="shared" si="9"/>
        <v>2.7068876478000001E-3</v>
      </c>
      <c r="U191">
        <f t="shared" si="11"/>
        <v>0.26359256593406594</v>
      </c>
    </row>
    <row r="192" spans="2:21" x14ac:dyDescent="0.3">
      <c r="B192">
        <v>91500</v>
      </c>
      <c r="C192">
        <v>1.83E-2</v>
      </c>
      <c r="D192">
        <v>-4.8720687999999996E-3</v>
      </c>
      <c r="E192">
        <v>0</v>
      </c>
      <c r="F192">
        <v>1.0323078000000001</v>
      </c>
      <c r="G192">
        <v>13.384150999999999</v>
      </c>
      <c r="H192">
        <v>7.4569026000000003</v>
      </c>
      <c r="I192">
        <v>5.7672141999999997</v>
      </c>
      <c r="J192">
        <v>6.0695227000000004E-14</v>
      </c>
      <c r="K192">
        <v>-462187.89</v>
      </c>
      <c r="L192">
        <v>487.83915999999999</v>
      </c>
      <c r="M192">
        <v>38.739724000000002</v>
      </c>
      <c r="N192">
        <v>76.818513999999993</v>
      </c>
      <c r="O192">
        <v>65.012922000000003</v>
      </c>
      <c r="P192">
        <v>0</v>
      </c>
      <c r="R192">
        <f t="shared" si="10"/>
        <v>4.683118795425</v>
      </c>
      <c r="S192">
        <f t="shared" si="8"/>
        <v>-4.9430302886999998E-3</v>
      </c>
      <c r="T192">
        <f t="shared" si="9"/>
        <v>-3.9253025343000001E-4</v>
      </c>
      <c r="U192">
        <f t="shared" si="11"/>
        <v>0.2662332677595628</v>
      </c>
    </row>
    <row r="193" spans="2:21" x14ac:dyDescent="0.3">
      <c r="B193">
        <v>92000</v>
      </c>
      <c r="C193">
        <v>1.84E-2</v>
      </c>
      <c r="D193">
        <v>-4.8576569E-3</v>
      </c>
      <c r="E193">
        <v>0</v>
      </c>
      <c r="F193">
        <v>1.002459</v>
      </c>
      <c r="G193">
        <v>13.527028</v>
      </c>
      <c r="H193">
        <v>7.5734652000000002</v>
      </c>
      <c r="I193">
        <v>5.7981558</v>
      </c>
      <c r="J193">
        <v>5.9306782000000001E-14</v>
      </c>
      <c r="K193">
        <v>-465054.37</v>
      </c>
      <c r="L193">
        <v>-405.39857000000001</v>
      </c>
      <c r="M193">
        <v>315.08035000000001</v>
      </c>
      <c r="N193">
        <v>76.826058000000003</v>
      </c>
      <c r="O193">
        <v>65.013863999999998</v>
      </c>
      <c r="P193">
        <v>0</v>
      </c>
      <c r="R193">
        <f t="shared" si="10"/>
        <v>4.7121634040249996</v>
      </c>
      <c r="S193">
        <f t="shared" si="8"/>
        <v>4.1077010105250002E-3</v>
      </c>
      <c r="T193">
        <f t="shared" si="9"/>
        <v>-3.192551646375E-3</v>
      </c>
      <c r="U193">
        <f t="shared" si="11"/>
        <v>0.26400309239130437</v>
      </c>
    </row>
    <row r="194" spans="2:21" x14ac:dyDescent="0.3">
      <c r="B194">
        <v>92500</v>
      </c>
      <c r="C194">
        <v>1.8499999999999999E-2</v>
      </c>
      <c r="D194">
        <v>-4.92145E-3</v>
      </c>
      <c r="E194">
        <v>0</v>
      </c>
      <c r="F194">
        <v>1.0235474</v>
      </c>
      <c r="G194">
        <v>13.674077</v>
      </c>
      <c r="H194">
        <v>7.6196799000000004</v>
      </c>
      <c r="I194">
        <v>5.8957204000000001</v>
      </c>
      <c r="J194">
        <v>5.7905901999999996E-14</v>
      </c>
      <c r="K194">
        <v>-467086.47</v>
      </c>
      <c r="L194">
        <v>384.86311999999998</v>
      </c>
      <c r="M194">
        <v>401.45287000000002</v>
      </c>
      <c r="N194">
        <v>76.833601999999999</v>
      </c>
      <c r="O194">
        <v>65.009696000000005</v>
      </c>
      <c r="P194">
        <v>0</v>
      </c>
      <c r="R194">
        <f t="shared" si="10"/>
        <v>4.7327536572749995</v>
      </c>
      <c r="S194">
        <f t="shared" si="8"/>
        <v>-3.8996255633999997E-3</v>
      </c>
      <c r="T194">
        <f t="shared" si="9"/>
        <v>-4.067721205275E-3</v>
      </c>
      <c r="U194">
        <f t="shared" si="11"/>
        <v>0.26602432432432432</v>
      </c>
    </row>
    <row r="195" spans="2:21" x14ac:dyDescent="0.3">
      <c r="B195">
        <v>93000</v>
      </c>
      <c r="C195">
        <v>1.8599999999999998E-2</v>
      </c>
      <c r="D195">
        <v>-4.9063930999999998E-3</v>
      </c>
      <c r="E195">
        <v>0</v>
      </c>
      <c r="F195">
        <v>1.0094468000000001</v>
      </c>
      <c r="G195">
        <v>13.821866</v>
      </c>
      <c r="H195">
        <v>7.7497961000000002</v>
      </c>
      <c r="I195">
        <v>5.9155797000000003</v>
      </c>
      <c r="J195">
        <v>5.8278493000000005E-14</v>
      </c>
      <c r="K195">
        <v>-470049.26</v>
      </c>
      <c r="L195">
        <v>-392.33161000000001</v>
      </c>
      <c r="M195">
        <v>187.78373999999999</v>
      </c>
      <c r="N195">
        <v>76.841145999999995</v>
      </c>
      <c r="O195">
        <v>65.010679999999994</v>
      </c>
      <c r="P195">
        <v>0</v>
      </c>
      <c r="R195">
        <f t="shared" si="10"/>
        <v>4.7627741269500001</v>
      </c>
      <c r="S195">
        <f t="shared" si="8"/>
        <v>3.9753000383250005E-3</v>
      </c>
      <c r="T195">
        <f t="shared" si="9"/>
        <v>-1.9027187455499998E-3</v>
      </c>
      <c r="U195">
        <f t="shared" si="11"/>
        <v>0.26378457526881721</v>
      </c>
    </row>
    <row r="196" spans="2:21" x14ac:dyDescent="0.3">
      <c r="B196">
        <v>93500</v>
      </c>
      <c r="C196">
        <v>1.8700000000000001E-2</v>
      </c>
      <c r="D196">
        <v>-4.9746859000000003E-3</v>
      </c>
      <c r="E196">
        <v>0</v>
      </c>
      <c r="F196">
        <v>1.0640727000000001</v>
      </c>
      <c r="G196">
        <v>13.966631</v>
      </c>
      <c r="H196">
        <v>7.7825740000000003</v>
      </c>
      <c r="I196">
        <v>6.0190979000000002</v>
      </c>
      <c r="J196">
        <v>6.1637805999999994E-14</v>
      </c>
      <c r="K196">
        <v>-471979.35</v>
      </c>
      <c r="L196">
        <v>423.18752999999998</v>
      </c>
      <c r="M196">
        <v>-167.00660999999999</v>
      </c>
      <c r="N196">
        <v>76.848688999999993</v>
      </c>
      <c r="O196">
        <v>65.006218000000004</v>
      </c>
      <c r="P196">
        <v>0</v>
      </c>
      <c r="R196">
        <f t="shared" si="10"/>
        <v>4.7823307638749997</v>
      </c>
      <c r="S196">
        <f t="shared" si="8"/>
        <v>-4.2879476477249998E-3</v>
      </c>
      <c r="T196">
        <f t="shared" si="9"/>
        <v>1.692194475825E-3</v>
      </c>
      <c r="U196">
        <f t="shared" si="11"/>
        <v>0.26602598395721927</v>
      </c>
    </row>
    <row r="197" spans="2:21" x14ac:dyDescent="0.3">
      <c r="B197">
        <v>94000</v>
      </c>
      <c r="C197">
        <v>1.8800000000000001E-2</v>
      </c>
      <c r="D197">
        <v>-4.9530205000000004E-3</v>
      </c>
      <c r="E197">
        <v>0</v>
      </c>
      <c r="F197">
        <v>0.98574408000000002</v>
      </c>
      <c r="G197">
        <v>14.101101999999999</v>
      </c>
      <c r="H197">
        <v>7.9138070999999997</v>
      </c>
      <c r="I197">
        <v>6.0344787000000002</v>
      </c>
      <c r="J197">
        <v>5.9960702999999997E-14</v>
      </c>
      <c r="K197">
        <v>-475016.07</v>
      </c>
      <c r="L197">
        <v>-509.83163999999999</v>
      </c>
      <c r="M197">
        <v>-395.48923000000002</v>
      </c>
      <c r="N197">
        <v>76.856233000000003</v>
      </c>
      <c r="O197">
        <v>65.007632999999998</v>
      </c>
      <c r="P197">
        <v>0</v>
      </c>
      <c r="R197">
        <f t="shared" si="10"/>
        <v>4.8131003292749996</v>
      </c>
      <c r="S197">
        <f t="shared" si="8"/>
        <v>5.1658690923000001E-3</v>
      </c>
      <c r="T197">
        <f t="shared" si="9"/>
        <v>4.0072946229750004E-3</v>
      </c>
      <c r="U197">
        <f t="shared" si="11"/>
        <v>0.26345853723404256</v>
      </c>
    </row>
    <row r="198" spans="2:21" x14ac:dyDescent="0.3">
      <c r="B198">
        <v>94500</v>
      </c>
      <c r="C198">
        <v>1.89E-2</v>
      </c>
      <c r="D198">
        <v>-5.0317327000000004E-3</v>
      </c>
      <c r="E198">
        <v>0</v>
      </c>
      <c r="F198">
        <v>0.97720505999999996</v>
      </c>
      <c r="G198">
        <v>14.244609000000001</v>
      </c>
      <c r="H198">
        <v>7.9497013000000001</v>
      </c>
      <c r="I198">
        <v>6.1434154999999997</v>
      </c>
      <c r="J198">
        <v>5.9022121000000001E-14</v>
      </c>
      <c r="K198">
        <v>-476869.89</v>
      </c>
      <c r="L198">
        <v>588.20622000000003</v>
      </c>
      <c r="M198">
        <v>-300.27292999999997</v>
      </c>
      <c r="N198">
        <v>76.863776999999999</v>
      </c>
      <c r="O198">
        <v>65.002491000000006</v>
      </c>
      <c r="P198">
        <v>0</v>
      </c>
      <c r="R198">
        <f t="shared" si="10"/>
        <v>4.831884160425</v>
      </c>
      <c r="S198">
        <f t="shared" si="8"/>
        <v>-5.95999952415E-3</v>
      </c>
      <c r="T198">
        <f t="shared" si="9"/>
        <v>3.0425154632249996E-3</v>
      </c>
      <c r="U198">
        <f t="shared" si="11"/>
        <v>0.26622924338624343</v>
      </c>
    </row>
    <row r="199" spans="2:21" x14ac:dyDescent="0.3">
      <c r="B199">
        <v>95000</v>
      </c>
      <c r="C199">
        <v>1.9E-2</v>
      </c>
      <c r="D199">
        <v>-5.0055541999999998E-3</v>
      </c>
      <c r="E199">
        <v>0</v>
      </c>
      <c r="F199">
        <v>1.0245360999999999</v>
      </c>
      <c r="G199">
        <v>14.395996999999999</v>
      </c>
      <c r="H199">
        <v>8.0762119000000006</v>
      </c>
      <c r="I199">
        <v>6.1609549000000001</v>
      </c>
      <c r="J199">
        <v>6.0548898999999994E-14</v>
      </c>
      <c r="K199">
        <v>-479950.85</v>
      </c>
      <c r="L199">
        <v>-456.00466</v>
      </c>
      <c r="M199">
        <v>55.145460999999997</v>
      </c>
      <c r="N199">
        <v>76.871320999999995</v>
      </c>
      <c r="O199">
        <v>65.004200999999995</v>
      </c>
      <c r="P199">
        <v>0</v>
      </c>
      <c r="R199">
        <f t="shared" si="10"/>
        <v>4.8631019876249999</v>
      </c>
      <c r="S199">
        <f t="shared" si="8"/>
        <v>4.6204672174500003E-3</v>
      </c>
      <c r="T199">
        <f t="shared" si="9"/>
        <v>-5.5876138358249992E-4</v>
      </c>
      <c r="U199">
        <f t="shared" si="11"/>
        <v>0.26345022105263155</v>
      </c>
    </row>
    <row r="200" spans="2:21" x14ac:dyDescent="0.3">
      <c r="B200">
        <v>95500</v>
      </c>
      <c r="C200">
        <v>1.9099999999999999E-2</v>
      </c>
      <c r="D200">
        <v>-5.0680222999999998E-3</v>
      </c>
      <c r="E200">
        <v>0</v>
      </c>
      <c r="F200">
        <v>1.0582402</v>
      </c>
      <c r="G200">
        <v>14.549251999999999</v>
      </c>
      <c r="H200">
        <v>8.1208457000000003</v>
      </c>
      <c r="I200">
        <v>6.2643512000000001</v>
      </c>
      <c r="J200">
        <v>5.8440807999999995E-14</v>
      </c>
      <c r="K200">
        <v>-481874.05</v>
      </c>
      <c r="L200">
        <v>174.90208999999999</v>
      </c>
      <c r="M200">
        <v>385.17997000000003</v>
      </c>
      <c r="N200">
        <v>76.878865000000005</v>
      </c>
      <c r="O200">
        <v>65.000119999999995</v>
      </c>
      <c r="P200">
        <v>0</v>
      </c>
      <c r="R200">
        <f t="shared" si="10"/>
        <v>4.8825888116250002</v>
      </c>
      <c r="S200">
        <f t="shared" si="8"/>
        <v>-1.7721954269249998E-3</v>
      </c>
      <c r="T200">
        <f t="shared" si="9"/>
        <v>-3.9028360460250005E-3</v>
      </c>
      <c r="U200">
        <f t="shared" si="11"/>
        <v>0.26534148167539268</v>
      </c>
    </row>
    <row r="201" spans="2:21" x14ac:dyDescent="0.3">
      <c r="B201">
        <v>96000</v>
      </c>
      <c r="C201">
        <v>1.9199999999999998E-2</v>
      </c>
      <c r="D201">
        <v>-5.0782151000000001E-3</v>
      </c>
      <c r="E201">
        <v>0</v>
      </c>
      <c r="F201">
        <v>1.0321667000000001</v>
      </c>
      <c r="G201">
        <v>14.693903000000001</v>
      </c>
      <c r="H201">
        <v>8.2372680000000003</v>
      </c>
      <c r="I201">
        <v>6.2966223000000001</v>
      </c>
      <c r="J201">
        <v>6.1298744E-14</v>
      </c>
      <c r="K201">
        <v>-484761.28</v>
      </c>
      <c r="L201">
        <v>157.72515000000001</v>
      </c>
      <c r="M201">
        <v>332.31542000000002</v>
      </c>
      <c r="N201">
        <v>76.886408000000003</v>
      </c>
      <c r="O201">
        <v>64.999454</v>
      </c>
      <c r="P201">
        <v>0</v>
      </c>
      <c r="R201">
        <f t="shared" si="10"/>
        <v>4.9118436696000005</v>
      </c>
      <c r="S201">
        <f t="shared" ref="S201:S209" si="12">-L201*$B$3</f>
        <v>-1.5981500823750001E-3</v>
      </c>
      <c r="T201">
        <f t="shared" ref="T201:T209" si="13">-M201*$B$3</f>
        <v>-3.3671859931500001E-3</v>
      </c>
      <c r="U201">
        <f t="shared" si="11"/>
        <v>0.26449036979166668</v>
      </c>
    </row>
    <row r="202" spans="2:21" x14ac:dyDescent="0.3">
      <c r="B202">
        <v>96500</v>
      </c>
      <c r="C202">
        <v>1.9300000000000001E-2</v>
      </c>
      <c r="D202">
        <v>-5.0944006999999996E-3</v>
      </c>
      <c r="E202">
        <v>0</v>
      </c>
      <c r="F202">
        <v>1.0024101000000001</v>
      </c>
      <c r="G202">
        <v>14.838870999999999</v>
      </c>
      <c r="H202">
        <v>8.3064719999999994</v>
      </c>
      <c r="I202">
        <v>6.3769989999999996</v>
      </c>
      <c r="J202">
        <v>6.2145178000000003E-14</v>
      </c>
      <c r="K202">
        <v>-486959.19</v>
      </c>
      <c r="L202">
        <v>-476.01215000000002</v>
      </c>
      <c r="M202">
        <v>-67.033080999999996</v>
      </c>
      <c r="N202">
        <v>76.893951999999999</v>
      </c>
      <c r="O202">
        <v>64.998396999999997</v>
      </c>
      <c r="P202">
        <v>0</v>
      </c>
      <c r="R202">
        <f t="shared" ref="R202:R209" si="14">-K202*$B$3</f>
        <v>4.9341139926749999</v>
      </c>
      <c r="S202">
        <f t="shared" si="12"/>
        <v>4.8231931098750005E-3</v>
      </c>
      <c r="T202">
        <f t="shared" si="13"/>
        <v>6.7921269323249994E-4</v>
      </c>
      <c r="U202">
        <f t="shared" ref="U202:U209" si="15">-D202/C202</f>
        <v>0.26395858549222795</v>
      </c>
    </row>
    <row r="203" spans="2:21" x14ac:dyDescent="0.3">
      <c r="B203">
        <v>97000</v>
      </c>
      <c r="C203">
        <v>1.9400000000000001E-2</v>
      </c>
      <c r="D203">
        <v>-5.1527899000000004E-3</v>
      </c>
      <c r="E203">
        <v>0</v>
      </c>
      <c r="F203">
        <v>0.97256403000000002</v>
      </c>
      <c r="G203">
        <v>14.982257000000001</v>
      </c>
      <c r="H203">
        <v>8.3941365999999995</v>
      </c>
      <c r="I203">
        <v>6.4373472999999999</v>
      </c>
      <c r="J203">
        <v>5.9114713000000003E-14</v>
      </c>
      <c r="K203">
        <v>-489485.55</v>
      </c>
      <c r="L203">
        <v>733.95326</v>
      </c>
      <c r="M203">
        <v>-393.91802000000001</v>
      </c>
      <c r="N203">
        <v>76.901495999999995</v>
      </c>
      <c r="O203">
        <v>64.994581999999994</v>
      </c>
      <c r="P203">
        <v>0</v>
      </c>
      <c r="R203">
        <f t="shared" si="14"/>
        <v>4.9597123353749994</v>
      </c>
      <c r="S203">
        <f t="shared" si="12"/>
        <v>-7.4367814069499997E-3</v>
      </c>
      <c r="T203">
        <f t="shared" si="13"/>
        <v>3.9913743376499998E-3</v>
      </c>
      <c r="U203">
        <f t="shared" si="15"/>
        <v>0.2656077268041237</v>
      </c>
    </row>
    <row r="204" spans="2:21" x14ac:dyDescent="0.3">
      <c r="B204">
        <v>97500</v>
      </c>
      <c r="C204">
        <v>1.95E-2</v>
      </c>
      <c r="D204">
        <v>-5.1252169999999996E-3</v>
      </c>
      <c r="E204">
        <v>0</v>
      </c>
      <c r="F204">
        <v>1.0012445999999999</v>
      </c>
      <c r="G204">
        <v>15.132388000000001</v>
      </c>
      <c r="H204">
        <v>8.4943536999999996</v>
      </c>
      <c r="I204">
        <v>6.4828153999999998</v>
      </c>
      <c r="J204">
        <v>6.0908833999999998E-14</v>
      </c>
      <c r="K204">
        <v>-492102.28</v>
      </c>
      <c r="L204">
        <v>-895.65749000000005</v>
      </c>
      <c r="M204">
        <v>-285.87934000000001</v>
      </c>
      <c r="N204">
        <v>76.909040000000005</v>
      </c>
      <c r="O204">
        <v>64.996382999999994</v>
      </c>
      <c r="P204">
        <v>0</v>
      </c>
      <c r="R204">
        <f t="shared" si="14"/>
        <v>4.9862263521000001</v>
      </c>
      <c r="S204">
        <f t="shared" si="12"/>
        <v>9.0752495174250009E-3</v>
      </c>
      <c r="T204">
        <f t="shared" si="13"/>
        <v>2.8966724125500001E-3</v>
      </c>
      <c r="U204">
        <f t="shared" si="15"/>
        <v>0.26283164102564099</v>
      </c>
    </row>
    <row r="205" spans="2:21" x14ac:dyDescent="0.3">
      <c r="B205">
        <v>98000</v>
      </c>
      <c r="C205">
        <v>1.9599999999999999E-2</v>
      </c>
      <c r="D205">
        <v>-5.2171617999999999E-3</v>
      </c>
      <c r="E205">
        <v>0</v>
      </c>
      <c r="F205">
        <v>0.97838574</v>
      </c>
      <c r="G205">
        <v>15.289573000000001</v>
      </c>
      <c r="H205">
        <v>8.5546208000000004</v>
      </c>
      <c r="I205">
        <v>6.5832772000000004</v>
      </c>
      <c r="J205">
        <v>6.2297277999999995E-14</v>
      </c>
      <c r="K205">
        <v>-494185.83</v>
      </c>
      <c r="L205">
        <v>944.39052000000004</v>
      </c>
      <c r="M205">
        <v>158.15566000000001</v>
      </c>
      <c r="N205">
        <v>76.916584</v>
      </c>
      <c r="O205">
        <v>64.990376999999995</v>
      </c>
      <c r="P205">
        <v>0</v>
      </c>
      <c r="R205">
        <f t="shared" si="14"/>
        <v>5.0073379224750001</v>
      </c>
      <c r="S205">
        <f t="shared" si="12"/>
        <v>-9.5690369439000011E-3</v>
      </c>
      <c r="T205">
        <f t="shared" si="13"/>
        <v>-1.6025122249500002E-3</v>
      </c>
      <c r="U205">
        <f t="shared" si="15"/>
        <v>0.26618172448979593</v>
      </c>
    </row>
    <row r="206" spans="2:21" x14ac:dyDescent="0.3">
      <c r="B206">
        <v>98500</v>
      </c>
      <c r="C206">
        <v>1.9699999999999999E-2</v>
      </c>
      <c r="D206">
        <v>-5.1703766000000002E-3</v>
      </c>
      <c r="E206">
        <v>0</v>
      </c>
      <c r="F206">
        <v>0.99802294999999996</v>
      </c>
      <c r="G206">
        <v>15.439874</v>
      </c>
      <c r="H206">
        <v>8.6843897000000005</v>
      </c>
      <c r="I206">
        <v>6.600765</v>
      </c>
      <c r="J206">
        <v>5.9464210999999999E-14</v>
      </c>
      <c r="K206">
        <v>-497197.92</v>
      </c>
      <c r="L206">
        <v>-873.22238000000004</v>
      </c>
      <c r="M206">
        <v>408.08724000000001</v>
      </c>
      <c r="N206">
        <v>76.924126999999999</v>
      </c>
      <c r="O206">
        <v>64.993432999999996</v>
      </c>
      <c r="P206">
        <v>0</v>
      </c>
      <c r="R206">
        <f t="shared" si="14"/>
        <v>5.0378579243999999</v>
      </c>
      <c r="S206">
        <f t="shared" si="12"/>
        <v>8.8479257653499999E-3</v>
      </c>
      <c r="T206">
        <f t="shared" si="13"/>
        <v>-4.1349439593E-3</v>
      </c>
      <c r="U206">
        <f t="shared" si="15"/>
        <v>0.26245566497461931</v>
      </c>
    </row>
    <row r="207" spans="2:21" x14ac:dyDescent="0.3">
      <c r="B207">
        <v>99000</v>
      </c>
      <c r="C207">
        <v>1.9800000000000002E-2</v>
      </c>
      <c r="D207">
        <v>-5.2629996000000002E-3</v>
      </c>
      <c r="E207">
        <v>0</v>
      </c>
      <c r="F207">
        <v>1.0133363</v>
      </c>
      <c r="G207">
        <v>15.586864</v>
      </c>
      <c r="H207">
        <v>8.7170713000000006</v>
      </c>
      <c r="I207">
        <v>6.7126992999999997</v>
      </c>
      <c r="J207">
        <v>6.1243233000000004E-14</v>
      </c>
      <c r="K207">
        <v>-499059</v>
      </c>
      <c r="L207">
        <v>709.18439000000001</v>
      </c>
      <c r="M207">
        <v>136.73571000000001</v>
      </c>
      <c r="N207">
        <v>76.931670999999994</v>
      </c>
      <c r="O207">
        <v>64.987381999999997</v>
      </c>
      <c r="P207">
        <v>0</v>
      </c>
      <c r="R207">
        <f t="shared" si="14"/>
        <v>5.0567153175000001</v>
      </c>
      <c r="S207">
        <f t="shared" si="12"/>
        <v>-7.1858108316749996E-3</v>
      </c>
      <c r="T207">
        <f t="shared" si="13"/>
        <v>-1.3854745815750002E-3</v>
      </c>
      <c r="U207">
        <f t="shared" si="15"/>
        <v>0.2658080606060606</v>
      </c>
    </row>
    <row r="208" spans="2:21" x14ac:dyDescent="0.3">
      <c r="B208">
        <v>99500</v>
      </c>
      <c r="C208">
        <v>1.9900000000000001E-2</v>
      </c>
      <c r="D208">
        <v>-5.2318039999999996E-3</v>
      </c>
      <c r="E208">
        <v>0</v>
      </c>
      <c r="F208">
        <v>0.99034387999999995</v>
      </c>
      <c r="G208">
        <v>15.741443</v>
      </c>
      <c r="H208">
        <v>8.8551404999999992</v>
      </c>
      <c r="I208">
        <v>6.7327731000000002</v>
      </c>
      <c r="J208">
        <v>6.1486594000000006E-14</v>
      </c>
      <c r="K208">
        <v>-502102.25</v>
      </c>
      <c r="L208">
        <v>-527.85599000000002</v>
      </c>
      <c r="M208">
        <v>-311.47377999999998</v>
      </c>
      <c r="N208">
        <v>76.939215000000004</v>
      </c>
      <c r="O208">
        <v>64.989419999999996</v>
      </c>
      <c r="P208">
        <v>0</v>
      </c>
      <c r="R208">
        <f t="shared" si="14"/>
        <v>5.0875510481250004</v>
      </c>
      <c r="S208">
        <f t="shared" si="12"/>
        <v>5.3485008186750001E-3</v>
      </c>
      <c r="T208">
        <f t="shared" si="13"/>
        <v>3.15600807585E-3</v>
      </c>
      <c r="U208">
        <f t="shared" si="15"/>
        <v>0.26290472361809042</v>
      </c>
    </row>
    <row r="209" spans="2:21" x14ac:dyDescent="0.3">
      <c r="B209">
        <v>100000</v>
      </c>
      <c r="C209">
        <v>0.02</v>
      </c>
      <c r="D209">
        <v>-5.3002316999999997E-3</v>
      </c>
      <c r="E209">
        <v>0</v>
      </c>
      <c r="F209">
        <v>1.0075996</v>
      </c>
      <c r="G209">
        <v>15.901319000000001</v>
      </c>
      <c r="H209">
        <v>8.9045457999999993</v>
      </c>
      <c r="I209">
        <v>6.8405696000000002</v>
      </c>
      <c r="J209">
        <v>6.0517369000000004E-14</v>
      </c>
      <c r="K209">
        <v>-504055.9</v>
      </c>
      <c r="L209">
        <v>345.80067000000003</v>
      </c>
      <c r="M209">
        <v>-339.19101999999998</v>
      </c>
      <c r="N209">
        <v>76.946759</v>
      </c>
      <c r="O209">
        <v>64.984949999999998</v>
      </c>
      <c r="P209">
        <v>0</v>
      </c>
      <c r="R209">
        <f t="shared" si="14"/>
        <v>5.1073464067500005</v>
      </c>
      <c r="S209">
        <f t="shared" si="12"/>
        <v>-3.5038252887750003E-3</v>
      </c>
      <c r="T209">
        <f t="shared" si="13"/>
        <v>3.4368530101499999E-3</v>
      </c>
      <c r="U209">
        <f t="shared" si="15"/>
        <v>0.26501158499999999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data_uniaxial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Αριστοτέλης Σγούρος</dc:creator>
  <cp:lastModifiedBy>Αριστοτέλης Σγούρος</cp:lastModifiedBy>
  <dcterms:created xsi:type="dcterms:W3CDTF">2026-07-07T11:13:17Z</dcterms:created>
  <dcterms:modified xsi:type="dcterms:W3CDTF">2026-07-08T11:14:29Z</dcterms:modified>
</cp:coreProperties>
</file>